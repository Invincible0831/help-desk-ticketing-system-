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d33e863dbf428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ists" sheetId="1" r:id="R224d2a09f1e547b4"/>
    <x:sheet xmlns:r="http://schemas.openxmlformats.org/officeDocument/2006/relationships" name="Tickets" sheetId="2" r:id="Rb114c0ce3f79463b"/>
    <x:sheet xmlns:r="http://schemas.openxmlformats.org/officeDocument/2006/relationships" name="Dashboard" sheetId="3" r:id="R8f1f747ab50245bf"/>
    <x:sheet xmlns:r="http://schemas.openxmlformats.org/officeDocument/2006/relationships" name="Users" sheetId="4" r:id="Rddc9d5124a3c45c4"/>
    <x:sheet xmlns:r="http://schemas.openxmlformats.org/officeDocument/2006/relationships" name="Knowledge Base" sheetId="5" r:id="R066299458b0d4c3c"/>
    <x:sheet xmlns:r="http://schemas.openxmlformats.org/officeDocument/2006/relationships" name="Read Me" sheetId="6" r:id="R96f74acd3bfb44d4"/>
    <x:sheet xmlns:r="http://schemas.openxmlformats.org/officeDocument/2006/relationships" name="Reports" sheetId="7" r:id="Ref3ec895a99e4aab"/>
    <x:sheet xmlns:r="http://schemas.openxmlformats.org/officeDocument/2006/relationships" name="Ticket Details" sheetId="8" r:id="Rc0a8947324564c6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mm/dd/yyyy"/>
    <x:numFmt numFmtId="201" formatCode="0"/>
    <x:numFmt numFmtId="202" formatCode="0.0"/>
    <x:numFmt numFmtId="203" formatCode="yyyy-mm-dd"/>
    <x:numFmt numFmtId="204" formatCode="0%"/>
  </x:numFmts>
  <x:fonts count="7">
    <x:font>
      <x:sz val="11"/>
      <x:name val="Carlito"/>
    </x:font>
    <x:font>
      <x:b/>
      <x:sz val="11"/>
      <x:color rgb="FFFFFFFF"/>
      <x:name val="Carlito"/>
    </x:font>
    <x:font>
      <x:sz val="11"/>
      <x:color rgb="FF22313F"/>
      <x:name val="Carlito"/>
    </x:font>
    <x:font>
      <x:b/>
      <x:sz val="11"/>
      <x:color rgb="FF17324D"/>
      <x:name val="Carlito"/>
    </x:font>
    <x:font>
      <x:i/>
      <x:sz val="11"/>
      <x:color rgb="FF17324D"/>
      <x:name val="Carlito"/>
    </x:font>
    <x:font>
      <x:b/>
      <x:sz val="11"/>
      <x:color rgb="FF7F6000"/>
      <x:name val="Carlito"/>
    </x:font>
    <x:font>
      <x:b/>
      <x:sz val="11"/>
      <x:color rgb="FF22313F"/>
      <x:name val="Carlito"/>
    </x:font>
  </x:fonts>
  <x:fills count="16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DCEAF3"/>
      </x:patternFill>
    </x:fill>
    <x:fill>
      <x:patternFill patternType="solid">
        <x:fgColor rgb="FF245B78"/>
      </x:patternFill>
    </x:fill>
    <x:fill>
      <x:patternFill patternType="solid">
        <x:fgColor rgb="FFF5F8FA"/>
      </x:patternFill>
    </x:fill>
    <x:fill>
      <x:patternFill patternType="solid">
        <x:fgColor rgb="FF17324D"/>
      </x:patternFill>
    </x:fill>
    <x:fill>
      <x:patternFill patternType="solid">
        <x:fgColor rgb="FFF5F8FA"/>
      </x:patternFill>
    </x:fill>
    <x:fill>
      <x:patternFill patternType="solid">
        <x:fgColor rgb="FFDCEAF3"/>
      </x:patternFill>
    </x:fill>
    <x:fill>
      <x:patternFill patternType="solid">
        <x:fgColor rgb="FF245B78"/>
      </x:patternFill>
    </x:fill>
    <x:fill>
      <x:patternFill patternType="solid">
        <x:fgColor rgb="FFFFF2CC"/>
      </x:patternFill>
    </x:fill>
    <x:fill>
      <x:patternFill patternType="solid">
        <x:fgColor rgb="FF245B78"/>
      </x:patternFill>
    </x:fill>
    <x:fill>
      <x:patternFill patternType="solid">
        <x:fgColor rgb="FF17324D"/>
      </x:patternFill>
    </x:fill>
    <x:fill>
      <x:patternFill patternType="solid">
        <x:fgColor rgb="FFF5F8FA"/>
      </x:patternFill>
    </x:fill>
    <x:fill>
      <x:patternFill patternType="solid">
        <x:fgColor rgb="FFDCEAF3"/>
      </x:patternFill>
    </x:fill>
    <x:fill>
      <x:patternFill patternType="solid">
        <x:fgColor rgb="FFFFF2CC"/>
      </x:patternFill>
    </x:fill>
  </x:fills>
  <x:borders count="47"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>
      <x:left style="thin">
        <x:color rgb="FFAFC4D0"/>
      </x:left>
      <x:top style="thin">
        <x:color rgb="FFAFC4D0"/>
      </x:top>
    </x:border>
    <x:border>
      <x:top style="thin">
        <x:color rgb="FFAFC4D0"/>
      </x:top>
    </x:border>
    <x:border>
      <x:right style="thin">
        <x:color rgb="FFAFC4D0"/>
      </x:right>
      <x:top style="thin">
        <x:color rgb="FFAFC4D0"/>
      </x:top>
    </x:border>
    <x:border>
      <x:left style="thin">
        <x:color rgb="FFAFC4D0"/>
      </x:left>
    </x:border>
    <x:border>
      <x:right style="thin">
        <x:color rgb="FFAFC4D0"/>
      </x:right>
    </x:border>
    <x:border>
      <x:left style="thin">
        <x:color rgb="FFAFC4D0"/>
      </x:left>
      <x:bottom style="thin">
        <x:color rgb="FFAFC4D0"/>
      </x:bottom>
    </x:border>
    <x:border>
      <x:bottom style="thin">
        <x:color rgb="FFAFC4D0"/>
      </x:bottom>
    </x:border>
    <x:border>
      <x:right style="thin">
        <x:color rgb="FFAFC4D0"/>
      </x:right>
      <x:bottom style="thin">
        <x:color rgb="FFAFC4D0"/>
      </x:bottom>
    </x:border>
    <x:border>
      <x:left style="thin">
        <x:color rgb="FFAFC4D0"/>
      </x:left>
      <x:top style="thin">
        <x:color rgb="FFAFC4D0"/>
      </x:top>
      <x:bottom style="thin">
        <x:color rgb="FFAFC4D0"/>
      </x:bottom>
    </x:border>
    <x:border>
      <x:top style="thin">
        <x:color rgb="FFAFC4D0"/>
      </x:top>
      <x:bottom style="thin">
        <x:color rgb="FFAFC4D0"/>
      </x:bottom>
    </x:border>
    <x:border>
      <x:right style="thin">
        <x:color rgb="FFAFC4D0"/>
      </x:right>
      <x:top style="thin">
        <x:color rgb="FFAFC4D0"/>
      </x:top>
      <x:bottom style="thin">
        <x:color rgb="FFAFC4D0"/>
      </x:bottom>
    </x:border>
    <x:border>
      <x:left style="thin">
        <x:color rgb="FF6E9CB5"/>
      </x:left>
      <x:top style="thin">
        <x:color rgb="FF6E9CB5"/>
      </x:top>
    </x:border>
    <x:border>
      <x:top style="thin">
        <x:color rgb="FF6E9CB5"/>
      </x:top>
    </x:border>
    <x:border>
      <x:right style="thin">
        <x:color rgb="FF6E9CB5"/>
      </x:right>
      <x:top style="thin">
        <x:color rgb="FF6E9CB5"/>
      </x:top>
    </x:border>
    <x:border>
      <x:left style="thin">
        <x:color rgb="FF6E9CB5"/>
      </x:left>
    </x:border>
    <x:border>
      <x:right style="thin">
        <x:color rgb="FF6E9CB5"/>
      </x:right>
    </x:border>
    <x:border>
      <x:left style="thin">
        <x:color rgb="FF6E9CB5"/>
      </x:left>
      <x:bottom style="thin">
        <x:color rgb="FF6E9CB5"/>
      </x:bottom>
    </x:border>
    <x:border>
      <x:bottom style="thin">
        <x:color rgb="FF6E9CB5"/>
      </x:bottom>
    </x:border>
    <x:border>
      <x:right style="thin">
        <x:color rgb="FF6E9CB5"/>
      </x:right>
      <x:bottom style="thin">
        <x:color rgb="FF6E9CB5"/>
      </x:bottom>
    </x:border>
    <x:border>
      <x:left style="thin">
        <x:color rgb="FFAFC4D0"/>
      </x:left>
      <x:right style="thin">
        <x:color rgb="FFAFC4D0"/>
      </x:right>
      <x:top style="thin">
        <x:color rgb="FFAFC4D0"/>
      </x:top>
      <x:bottom style="thin">
        <x:color rgb="FFAFC4D0"/>
      </x:bottom>
    </x:border>
    <x:border>
      <x:left style="medium">
        <x:color rgb="FFC9A227"/>
      </x:left>
      <x:top style="medium">
        <x:color rgb="FFC9A227"/>
      </x:top>
      <x:bottom style="medium">
        <x:color rgb="FFC9A227"/>
      </x:bottom>
    </x:border>
    <x:border>
      <x:top style="medium">
        <x:color rgb="FFC9A227"/>
      </x:top>
      <x:bottom style="medium">
        <x:color rgb="FFC9A227"/>
      </x:bottom>
    </x:border>
    <x:border>
      <x:right style="medium">
        <x:color rgb="FFC9A227"/>
      </x:right>
      <x:top style="medium">
        <x:color rgb="FFC9A227"/>
      </x:top>
      <x:bottom style="medium">
        <x:color rgb="FFC9A227"/>
      </x:bottom>
    </x:border>
    <x:border>
      <x:left style="thin">
        <x:color rgb="FFC9A227"/>
      </x:left>
      <x:top style="thin">
        <x:color rgb="FFC9A227"/>
      </x:top>
    </x:border>
    <x:border>
      <x:top style="thin">
        <x:color rgb="FFC9A227"/>
      </x:top>
    </x:border>
    <x:border>
      <x:right style="thin">
        <x:color rgb="FFC9A227"/>
      </x:right>
      <x:top style="thin">
        <x:color rgb="FFC9A227"/>
      </x:top>
    </x:border>
    <x:border>
      <x:left style="thin">
        <x:color rgb="FFC9A227"/>
      </x:left>
      <x:bottom style="thin">
        <x:color rgb="FFC9A227"/>
      </x:bottom>
    </x:border>
    <x:border>
      <x:bottom style="thin">
        <x:color rgb="FFC9A227"/>
      </x:bottom>
    </x:border>
    <x:border>
      <x:right style="thin">
        <x:color rgb="FFC9A227"/>
      </x:right>
      <x:bottom style="thin">
        <x:color rgb="FFC9A227"/>
      </x:bottom>
    </x:border>
  </x:borders>
  <x:cellStyleXfs count="1">
    <x:xf numFmtId="0" fontId="0" fillId="0" borderId="0"/>
  </x:cellStyleXfs>
  <x:cellXfs count="42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/>
    <x:xf numFmtId="0" fontId="0" fillId="0" borderId="0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1" fillId="2" borderId="10" xfId="0" applyNumberFormat="1" applyFont="1" applyFill="1" applyBorder="1" applyAlignment="1">
      <x:alignment horizontal="center" vertical="center" wrapText="1"/>
    </x:xf>
    <x:xf numFmtId="0" fontId="1" fillId="2" borderId="11" xfId="0" applyNumberFormat="1" applyFont="1" applyFill="1" applyBorder="1" applyAlignment="1">
      <x:alignment horizontal="center" vertical="center" wrapText="1"/>
    </x:xf>
    <x:xf numFmtId="0" fontId="1" fillId="2" borderId="12" xfId="0" applyNumberFormat="1" applyFont="1" applyFill="1" applyBorder="1" applyAlignment="1">
      <x:alignment horizontal="center" vertical="center" wrapText="1"/>
    </x:xf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vertical="top" wrapText="1"/>
    </x:xf>
    <x:xf numFmtId="0" fontId="2" fillId="0" borderId="5" xfId="0" applyNumberFormat="1" applyFont="1" applyFill="1" applyBorder="1" applyAlignment="1">
      <x:alignment vertical="top" wrapText="1"/>
    </x:xf>
    <x:xf numFmtId="0" fontId="2" fillId="0" borderId="6" xfId="0" applyNumberFormat="1" applyFont="1" applyFill="1" applyBorder="1" applyAlignment="1">
      <x:alignment vertical="top" wrapText="1"/>
    </x:xf>
    <x:xf numFmtId="0" fontId="2" fillId="0" borderId="7" xfId="0" applyNumberFormat="1" applyFont="1" applyFill="1" applyBorder="1" applyAlignment="1">
      <x:alignment vertical="top" wrapText="1"/>
    </x:xf>
    <x:xf numFmtId="0" fontId="2" fillId="0" borderId="8" xfId="0" applyNumberFormat="1" applyFont="1" applyFill="1" applyBorder="1" applyAlignment="1">
      <x:alignment vertical="top" wrapText="1"/>
    </x:xf>
    <x:xf numFmtId="0" fontId="2" fillId="0" borderId="9" xfId="0" applyNumberFormat="1" applyFont="1" applyFill="1" applyBorder="1" applyAlignment="1">
      <x:alignment vertical="top" wrapText="1"/>
    </x:xf>
    <x:xf numFmtId="0" fontId="2" fillId="0" borderId="13" xfId="0" applyNumberFormat="1" applyFont="1" applyFill="1" applyBorder="1" applyAlignment="1">
      <x:alignment vertical="top" wrapText="1"/>
    </x:xf>
    <x:xf numFmtId="0" fontId="2" fillId="0" borderId="14" xfId="0" applyNumberFormat="1" applyFont="1" applyFill="1" applyBorder="1" applyAlignment="1">
      <x:alignment vertical="top" wrapText="1"/>
    </x:xf>
    <x:xf numFmtId="0" fontId="2" fillId="0" borderId="15" xfId="0" applyNumberFormat="1" applyFont="1" applyFill="1" applyBorder="1" applyAlignment="1">
      <x:alignment vertical="top" wrapText="1"/>
    </x:xf>
    <x:xf numFmtId="0" fontId="2" fillId="0" borderId="16" xfId="0" applyNumberFormat="1" applyFont="1" applyFill="1" applyBorder="1" applyAlignment="1">
      <x:alignment vertical="top" wrapText="1"/>
    </x:xf>
    <x:xf numFmtId="0" fontId="2" fillId="0" borderId="17" xfId="0" applyNumberFormat="1" applyFont="1" applyFill="1" applyBorder="1" applyAlignment="1">
      <x:alignment vertical="top" wrapText="1"/>
    </x:xf>
    <x:xf numFmtId="200" fontId="2" fillId="0" borderId="0" xfId="0" applyNumberFormat="1" applyFont="1" applyFill="1" applyBorder="1" applyAlignment="1">
      <x:alignment vertical="top" wrapText="1"/>
    </x:xf>
    <x:xf numFmtId="200" fontId="2" fillId="0" borderId="8" xfId="0" applyNumberFormat="1" applyFont="1" applyFill="1" applyBorder="1" applyAlignment="1">
      <x:alignment vertical="top" wrapText="1"/>
    </x:xf>
    <x:xf numFmtId="200" fontId="2" fillId="0" borderId="1" xfId="0" applyNumberFormat="1" applyFont="1" applyFill="1" applyBorder="1" applyAlignment="1">
      <x:alignment vertical="top" wrapText="1"/>
    </x:xf>
    <x:xf numFmtId="200" fontId="2" fillId="0" borderId="16" xfId="0" applyNumberFormat="1" applyFont="1" applyFill="1" applyBorder="1" applyAlignment="1">
      <x:alignment vertical="top" wrapText="1"/>
    </x:xf>
    <x:xf numFmtId="201" fontId="2" fillId="0" borderId="6" xfId="0" applyNumberFormat="1" applyFont="1" applyFill="1" applyBorder="1" applyAlignment="1">
      <x:alignment vertical="top" wrapText="1"/>
    </x:xf>
    <x:xf numFmtId="201" fontId="2" fillId="0" borderId="9" xfId="0" applyNumberFormat="1" applyFont="1" applyFill="1" applyBorder="1" applyAlignment="1">
      <x:alignment vertical="top" wrapText="1"/>
    </x:xf>
    <x:xf numFmtId="201" fontId="2" fillId="0" borderId="14" xfId="0" applyNumberFormat="1" applyFont="1" applyFill="1" applyBorder="1" applyAlignment="1">
      <x:alignment vertical="top" wrapText="1"/>
    </x:xf>
    <x:xf numFmtId="201" fontId="2" fillId="0" borderId="17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vertical="center"/>
    </x:xf>
    <x:xf numFmtId="0" fontId="3" fillId="3" borderId="5" xfId="0" applyNumberFormat="1" applyFont="1" applyFill="1" applyBorder="1" applyAlignment="1">
      <x:alignment vertical="center"/>
    </x:xf>
    <x:xf numFmtId="0" fontId="3" fillId="3" borderId="7" xfId="0" applyNumberFormat="1" applyFont="1" applyFill="1" applyBorder="1" applyAlignment="1">
      <x:alignment vertical="center"/>
    </x:xf>
    <x:xf numFmtId="0" fontId="3" fillId="3" borderId="13" xfId="0" applyNumberFormat="1" applyFont="1" applyFill="1" applyBorder="1" applyAlignment="1">
      <x:alignment vertical="center"/>
    </x:xf>
    <x:xf numFmtId="0" fontId="3" fillId="3" borderId="15" xfId="0" applyNumberFormat="1" applyFont="1" applyFill="1" applyBorder="1" applyAlignment="1">
      <x:alignment vertical="center"/>
    </x:xf>
    <x:xf numFmtId="201" fontId="0" fillId="0" borderId="6" xfId="0" applyNumberFormat="1" applyFont="1" applyFill="1" applyBorder="1"/>
    <x:xf numFmtId="201" fontId="0" fillId="0" borderId="14" xfId="0" applyNumberFormat="1" applyFont="1" applyFill="1" applyBorder="1"/>
    <x:xf numFmtId="202" fontId="0" fillId="0" borderId="9" xfId="0" applyNumberFormat="1" applyFont="1" applyFill="1" applyBorder="1"/>
    <x:xf numFmtId="202" fontId="0" fillId="0" borderId="17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horizontal="center"/>
    </x:xf>
    <x:xf numFmtId="0" fontId="1" fillId="4" borderId="1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2" xfId="0" applyNumberFormat="1" applyFont="1" applyFill="1" applyBorder="1"/>
    <x:xf numFmtId="0" fontId="2" fillId="5" borderId="4" xfId="0" applyNumberFormat="1" applyFont="1" applyFill="1" applyBorder="1"/>
    <x:xf numFmtId="0" fontId="2" fillId="5" borderId="5" xfId="0" applyNumberFormat="1" applyFont="1" applyFill="1" applyBorder="1"/>
    <x:xf numFmtId="0" fontId="2" fillId="5" borderId="6" xfId="0" applyNumberFormat="1" applyFont="1" applyFill="1" applyBorder="1"/>
    <x:xf numFmtId="0" fontId="2" fillId="5" borderId="7" xfId="0" applyNumberFormat="1" applyFont="1" applyFill="1" applyBorder="1"/>
    <x:xf numFmtId="0" fontId="2" fillId="5" borderId="9" xfId="0" applyNumberFormat="1" applyFont="1" applyFill="1" applyBorder="1"/>
    <x:xf numFmtId="0" fontId="2" fillId="5" borderId="2" xfId="0" applyNumberFormat="1" applyFont="1" applyFill="1" applyBorder="1" applyAlignment="1">
      <x:alignment wrapText="1"/>
    </x:xf>
    <x:xf numFmtId="0" fontId="2" fillId="5" borderId="4" xfId="0" applyNumberFormat="1" applyFont="1" applyFill="1" applyBorder="1" applyAlignment="1">
      <x:alignment wrapText="1"/>
    </x:xf>
    <x:xf numFmtId="0" fontId="2" fillId="5" borderId="5" xfId="0" applyNumberFormat="1" applyFont="1" applyFill="1" applyBorder="1" applyAlignment="1">
      <x:alignment wrapText="1"/>
    </x:xf>
    <x:xf numFmtId="0" fontId="2" fillId="5" borderId="6" xfId="0" applyNumberFormat="1" applyFont="1" applyFill="1" applyBorder="1" applyAlignment="1">
      <x:alignment wrapText="1"/>
    </x:xf>
    <x:xf numFmtId="0" fontId="2" fillId="5" borderId="7" xfId="0" applyNumberFormat="1" applyFont="1" applyFill="1" applyBorder="1" applyAlignment="1">
      <x:alignment wrapText="1"/>
    </x:xf>
    <x:xf numFmtId="0" fontId="2" fillId="5" borderId="9" xfId="0" applyNumberFormat="1" applyFont="1" applyFill="1" applyBorder="1" applyAlignment="1">
      <x:alignment wrapText="1"/>
    </x:xf>
    <x:xf numFmtId="0" fontId="2" fillId="5" borderId="2" xfId="0" applyNumberFormat="1" applyFont="1" applyFill="1" applyBorder="1" applyAlignment="1">
      <x:alignment vertical="top" wrapText="1"/>
    </x:xf>
    <x:xf numFmtId="0" fontId="2" fillId="5" borderId="4" xfId="0" applyNumberFormat="1" applyFont="1" applyFill="1" applyBorder="1" applyAlignment="1">
      <x:alignment vertical="top" wrapText="1"/>
    </x:xf>
    <x:xf numFmtId="0" fontId="2" fillId="5" borderId="5" xfId="0" applyNumberFormat="1" applyFont="1" applyFill="1" applyBorder="1" applyAlignment="1">
      <x:alignment vertical="top" wrapText="1"/>
    </x:xf>
    <x:xf numFmtId="0" fontId="2" fillId="5" borderId="6" xfId="0" applyNumberFormat="1" applyFont="1" applyFill="1" applyBorder="1" applyAlignment="1">
      <x:alignment vertical="top" wrapText="1"/>
    </x:xf>
    <x:xf numFmtId="0" fontId="2" fillId="5" borderId="7" xfId="0" applyNumberFormat="1" applyFont="1" applyFill="1" applyBorder="1" applyAlignment="1">
      <x:alignment vertical="top" wrapText="1"/>
    </x:xf>
    <x:xf numFmtId="0" fontId="2" fillId="5" borderId="9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/>
    <x:xf numFmtId="0" fontId="2" fillId="5" borderId="1" xfId="0" applyNumberFormat="1" applyFont="1" applyFill="1" applyBorder="1"/>
    <x:xf numFmtId="0" fontId="2" fillId="5" borderId="10" xfId="0" applyNumberFormat="1" applyFont="1" applyFill="1" applyBorder="1"/>
    <x:xf numFmtId="0" fontId="2" fillId="5" borderId="12" xfId="0" applyNumberFormat="1" applyFont="1" applyFill="1" applyBorder="1"/>
    <x:xf numFmtId="0" fontId="2" fillId="5" borderId="13" xfId="0" applyNumberFormat="1" applyFont="1" applyFill="1" applyBorder="1"/>
    <x:xf numFmtId="0" fontId="2" fillId="5" borderId="14" xfId="0" applyNumberFormat="1" applyFont="1" applyFill="1" applyBorder="1"/>
    <x:xf numFmtId="0" fontId="2" fillId="5" borderId="15" xfId="0" applyNumberFormat="1" applyFont="1" applyFill="1" applyBorder="1"/>
    <x:xf numFmtId="0" fontId="2" fillId="5" borderId="17" xfId="0" applyNumberFormat="1" applyFont="1" applyFill="1" applyBorder="1"/>
    <x:xf numFmtId="0" fontId="2" fillId="5" borderId="10" xfId="0" applyNumberFormat="1" applyFont="1" applyFill="1" applyBorder="1" applyAlignment="1">
      <x:alignment wrapText="1"/>
    </x:xf>
    <x:xf numFmtId="0" fontId="2" fillId="5" borderId="12" xfId="0" applyNumberFormat="1" applyFont="1" applyFill="1" applyBorder="1" applyAlignment="1">
      <x:alignment wrapText="1"/>
    </x:xf>
    <x:xf numFmtId="0" fontId="2" fillId="5" borderId="13" xfId="0" applyNumberFormat="1" applyFont="1" applyFill="1" applyBorder="1" applyAlignment="1">
      <x:alignment wrapText="1"/>
    </x:xf>
    <x:xf numFmtId="0" fontId="2" fillId="5" borderId="14" xfId="0" applyNumberFormat="1" applyFont="1" applyFill="1" applyBorder="1" applyAlignment="1">
      <x:alignment wrapText="1"/>
    </x:xf>
    <x:xf numFmtId="0" fontId="2" fillId="5" borderId="15" xfId="0" applyNumberFormat="1" applyFont="1" applyFill="1" applyBorder="1" applyAlignment="1">
      <x:alignment wrapText="1"/>
    </x:xf>
    <x:xf numFmtId="0" fontId="2" fillId="5" borderId="17" xfId="0" applyNumberFormat="1" applyFont="1" applyFill="1" applyBorder="1" applyAlignment="1">
      <x:alignment wrapText="1"/>
    </x:xf>
    <x:xf numFmtId="0" fontId="2" fillId="5" borderId="10" xfId="0" applyNumberFormat="1" applyFont="1" applyFill="1" applyBorder="1" applyAlignment="1">
      <x:alignment vertical="top" wrapText="1"/>
    </x:xf>
    <x:xf numFmtId="0" fontId="2" fillId="5" borderId="12" xfId="0" applyNumberFormat="1" applyFont="1" applyFill="1" applyBorder="1" applyAlignment="1">
      <x:alignment vertical="top" wrapText="1"/>
    </x:xf>
    <x:xf numFmtId="0" fontId="2" fillId="5" borderId="13" xfId="0" applyNumberFormat="1" applyFont="1" applyFill="1" applyBorder="1" applyAlignment="1">
      <x:alignment vertical="top" wrapText="1"/>
    </x:xf>
    <x:xf numFmtId="0" fontId="2" fillId="5" borderId="14" xfId="0" applyNumberFormat="1" applyFont="1" applyFill="1" applyBorder="1" applyAlignment="1">
      <x:alignment vertical="top" wrapText="1"/>
    </x:xf>
    <x:xf numFmtId="0" fontId="2" fillId="5" borderId="15" xfId="0" applyNumberFormat="1" applyFont="1" applyFill="1" applyBorder="1" applyAlignment="1">
      <x:alignment vertical="top" wrapText="1"/>
    </x:xf>
    <x:xf numFmtId="0" fontId="2" fillId="5" borderId="17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2" fillId="5" borderId="3" xfId="0" applyNumberFormat="1" applyFont="1" applyFill="1" applyBorder="1"/>
    <x:xf numFmtId="0" fontId="2" fillId="5" borderId="8" xfId="0" applyNumberFormat="1" applyFont="1" applyFill="1" applyBorder="1"/>
    <x:xf numFmtId="0" fontId="2" fillId="5" borderId="3" xfId="0" applyNumberFormat="1" applyFont="1" applyFill="1" applyBorder="1" applyAlignment="1">
      <x:alignment wrapText="1"/>
    </x:xf>
    <x:xf numFmtId="0" fontId="2" fillId="5" borderId="0" xfId="0" applyNumberFormat="1" applyFont="1" applyFill="1" applyBorder="1" applyAlignment="1">
      <x:alignment wrapText="1"/>
    </x:xf>
    <x:xf numFmtId="0" fontId="2" fillId="5" borderId="8" xfId="0" applyNumberFormat="1" applyFont="1" applyFill="1" applyBorder="1" applyAlignment="1">
      <x:alignment wrapText="1"/>
    </x:xf>
    <x:xf numFmtId="0" fontId="2" fillId="5" borderId="3" xfId="0" applyNumberFormat="1" applyFont="1" applyFill="1" applyBorder="1" applyAlignment="1">
      <x:alignment vertical="top" wrapText="1"/>
    </x:xf>
    <x:xf numFmtId="0" fontId="2" fillId="5" borderId="0" xfId="0" applyNumberFormat="1" applyFont="1" applyFill="1" applyBorder="1" applyAlignment="1">
      <x:alignment vertical="top" wrapText="1"/>
    </x:xf>
    <x:xf numFmtId="0" fontId="2" fillId="5" borderId="8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horizontal="center" wrapText="1"/>
    </x:xf>
    <x:xf numFmtId="0" fontId="1" fillId="6" borderId="0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 applyAlignment="1">
      <x:alignment vertical="center"/>
    </x:xf>
    <x:xf numFmtId="0" fontId="1" fillId="6" borderId="18" xfId="0" applyNumberFormat="1" applyFont="1" applyFill="1" applyBorder="1" applyAlignment="1">
      <x:alignment horizontal="center" vertical="center" wrapText="1"/>
    </x:xf>
    <x:xf numFmtId="0" fontId="1" fillId="6" borderId="19" xfId="0" applyNumberFormat="1" applyFont="1" applyFill="1" applyBorder="1" applyAlignment="1">
      <x:alignment horizontal="center" vertical="center" wrapText="1"/>
    </x:xf>
    <x:xf numFmtId="0" fontId="1" fillId="6" borderId="20" xfId="0" applyNumberFormat="1" applyFont="1" applyFill="1" applyBorder="1" applyAlignment="1">
      <x:alignment horizontal="center" vertical="center" wrapText="1"/>
    </x:xf>
    <x:xf numFmtId="0" fontId="2" fillId="0" borderId="21" xfId="0" applyNumberFormat="1" applyFont="1" applyFill="1" applyBorder="1" applyAlignment="1">
      <x:alignment vertical="center"/>
    </x:xf>
    <x:xf numFmtId="0" fontId="2" fillId="0" xfId="0" applyNumberFormat="1" applyFont="1" applyFill="1" applyBorder="0" applyAlignment="1">
      <x:alignment vertical="center"/>
    </x:xf>
    <x:xf numFmtId="0" fontId="2" fillId="0" borderId="22" xfId="0" applyNumberFormat="1" applyFont="1" applyFill="1" applyBorder="1" applyAlignment="1">
      <x:alignment vertical="center"/>
    </x:xf>
    <x:xf numFmtId="0" fontId="2" fillId="0" borderId="23" xfId="0" applyNumberFormat="1" applyFont="1" applyFill="1" applyBorder="1" applyAlignment="1">
      <x:alignment vertical="center"/>
    </x:xf>
    <x:xf numFmtId="0" fontId="2" fillId="0" borderId="24" xfId="0" applyNumberFormat="1" applyFont="1" applyFill="1" applyBorder="1" applyAlignment="1">
      <x:alignment vertical="center"/>
    </x:xf>
    <x:xf numFmtId="0" fontId="2" fillId="0" borderId="25" xfId="0" applyNumberFormat="1" applyFont="1" applyFill="1" applyBorder="1" applyAlignment="1">
      <x:alignment vertical="center"/>
    </x:xf>
    <x:xf numFmtId="202" fontId="2" fillId="0" borderId="22" xfId="0" applyNumberFormat="1" applyFont="1" applyFill="1" applyBorder="1" applyAlignment="1">
      <x:alignment vertical="center"/>
    </x:xf>
    <x:xf numFmtId="0" fontId="1" fillId="6" borderId="0" xfId="0" applyNumberFormat="1" applyFont="1" applyFill="1" applyBorder="1" applyAlignment="1">
      <x:alignment horizontal="left"/>
    </x:xf>
    <x:xf numFmtId="0" fontId="1" fillId="6" borderId="0" xfId="0" applyNumberFormat="1" applyFont="1" applyFill="1" applyBorder="1" applyAlignment="1">
      <x:alignment horizontal="left" vertical="center"/>
    </x:xf>
    <x:xf numFmtId="0" fontId="1" fillId="6" borderId="0" xfId="0" applyNumberFormat="1" applyFont="1" applyFill="1" applyBorder="1" applyAlignment="1">
      <x:alignment horizontal="left" vertical="center" wrapText="1"/>
    </x:xf>
    <x:xf numFmtId="203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vertical="top"/>
    </x:xf>
    <x:xf numFmtId="203" fontId="0" fillId="0" borderId="0" xfId="0" applyNumberFormat="1" applyFont="1" applyFill="1" applyBorder="1" applyAlignment="1">
      <x:alignment vertical="top"/>
    </x:xf>
    <x:xf numFmtId="201" fontId="0" fillId="0" borderId="0" xfId="0" applyNumberFormat="1" applyFont="1" applyFill="1" applyBorder="1" applyAlignment="1">
      <x:alignment vertical="top"/>
    </x:xf>
    <x:xf numFmtId="202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203" fontId="0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2" fontId="0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2" fillId="7" borderId="0" xfId="0" applyNumberFormat="1" applyFont="1" applyFill="1" applyBorder="1"/>
    <x:xf numFmtId="0" fontId="2" fillId="7" borderId="18" xfId="0" applyNumberFormat="1" applyFont="1" applyFill="1" applyBorder="1"/>
    <x:xf numFmtId="0" fontId="2" fillId="7" borderId="20" xfId="0" applyNumberFormat="1" applyFont="1" applyFill="1" applyBorder="1"/>
    <x:xf numFmtId="0" fontId="2" fillId="7" borderId="21" xfId="0" applyNumberFormat="1" applyFont="1" applyFill="1" applyBorder="1"/>
    <x:xf numFmtId="0" fontId="2" fillId="7" borderId="22" xfId="0" applyNumberFormat="1" applyFont="1" applyFill="1" applyBorder="1"/>
    <x:xf numFmtId="0" fontId="2" fillId="7" borderId="23" xfId="0" applyNumberFormat="1" applyFont="1" applyFill="1" applyBorder="1"/>
    <x:xf numFmtId="0" fontId="2" fillId="7" borderId="25" xfId="0" applyNumberFormat="1" applyFont="1" applyFill="1" applyBorder="1"/>
    <x:xf numFmtId="0" fontId="0" fillId="8" borderId="0" xfId="0" applyNumberFormat="1" applyFont="1" applyFill="1" applyBorder="1"/>
    <x:xf numFmtId="0" fontId="4" fillId="8" borderId="0" xfId="0" applyNumberFormat="1" applyFont="1" applyFill="1" applyBorder="1"/>
    <x:xf numFmtId="0" fontId="4" fillId="8" borderId="0" xfId="0" applyNumberFormat="1" applyFont="1" applyFill="1" applyBorder="1" applyAlignment="1">
      <x:alignment horizontal="left"/>
    </x:xf>
    <x:xf numFmtId="0" fontId="0" fillId="9" borderId="0" xfId="0" applyNumberFormat="1" applyFont="1" applyFill="1" applyBorder="1"/>
    <x:xf numFmtId="0" fontId="1" fillId="9" borderId="0" xfId="0" applyNumberFormat="1" applyFont="1" applyFill="1" applyBorder="1"/>
    <x:xf numFmtId="0" fontId="1" fillId="9" borderId="26" xfId="0" applyNumberFormat="1" applyFont="1" applyFill="1" applyBorder="1"/>
    <x:xf numFmtId="0" fontId="1" fillId="9" borderId="27" xfId="0" applyNumberFormat="1" applyFont="1" applyFill="1" applyBorder="1"/>
    <x:xf numFmtId="0" fontId="1" fillId="9" borderId="28" xfId="0" applyNumberFormat="1" applyFont="1" applyFill="1" applyBorder="1"/>
    <x:xf numFmtId="0" fontId="1" fillId="9" borderId="26" xfId="0" applyNumberFormat="1" applyFont="1" applyFill="1" applyBorder="1" applyAlignment="1">
      <x:alignment horizontal="center"/>
    </x:xf>
    <x:xf numFmtId="0" fontId="1" fillId="9" borderId="27" xfId="0" applyNumberFormat="1" applyFont="1" applyFill="1" applyBorder="1" applyAlignment="1">
      <x:alignment horizontal="center"/>
    </x:xf>
    <x:xf numFmtId="0" fontId="1" fillId="9" borderId="28" xfId="0" applyNumberFormat="1" applyFont="1" applyFill="1" applyBorder="1" applyAlignment="1">
      <x:alignment horizontal="center"/>
    </x:xf>
    <x:xf numFmtId="0" fontId="1" fillId="9" borderId="26" xfId="0" applyNumberFormat="1" applyFont="1" applyFill="1" applyBorder="1" applyAlignment="1">
      <x:alignment horizontal="center" vertical="center"/>
    </x:xf>
    <x:xf numFmtId="0" fontId="1" fillId="9" borderId="27" xfId="0" applyNumberFormat="1" applyFont="1" applyFill="1" applyBorder="1" applyAlignment="1">
      <x:alignment horizontal="center" vertical="center"/>
    </x:xf>
    <x:xf numFmtId="0" fontId="1" fillId="9" borderId="28" xfId="0" applyNumberFormat="1" applyFont="1" applyFill="1" applyBorder="1" applyAlignment="1">
      <x:alignment horizontal="center" vertical="center"/>
    </x:xf>
    <x:xf numFmtId="0" fontId="3" fillId="7" borderId="0" xfId="0" applyNumberFormat="1" applyFont="1" applyFill="1" applyBorder="1"/>
    <x:xf numFmtId="0" fontId="3" fillId="7" borderId="18" xfId="0" applyNumberFormat="1" applyFont="1" applyFill="1" applyBorder="1"/>
    <x:xf numFmtId="0" fontId="3" fillId="7" borderId="19" xfId="0" applyNumberFormat="1" applyFont="1" applyFill="1" applyBorder="1"/>
    <x:xf numFmtId="0" fontId="3" fillId="7" borderId="20" xfId="0" applyNumberFormat="1" applyFont="1" applyFill="1" applyBorder="1"/>
    <x:xf numFmtId="0" fontId="3" fillId="7" borderId="21" xfId="0" applyNumberFormat="1" applyFont="1" applyFill="1" applyBorder="1"/>
    <x:xf numFmtId="0" fontId="3" fillId="7" xfId="0" applyNumberFormat="1" applyFont="1" applyFill="1" applyBorder="0"/>
    <x:xf numFmtId="0" fontId="3" fillId="7" borderId="22" xfId="0" applyNumberFormat="1" applyFont="1" applyFill="1" applyBorder="1"/>
    <x:xf numFmtId="0" fontId="3" fillId="7" borderId="23" xfId="0" applyNumberFormat="1" applyFont="1" applyFill="1" applyBorder="1"/>
    <x:xf numFmtId="0" fontId="3" fillId="7" borderId="24" xfId="0" applyNumberFormat="1" applyFont="1" applyFill="1" applyBorder="1"/>
    <x:xf numFmtId="0" fontId="3" fillId="7" borderId="25" xfId="0" applyNumberFormat="1" applyFont="1" applyFill="1" applyBorder="1"/>
    <x:xf numFmtId="201" fontId="3" fillId="7" borderId="18" xfId="0" applyNumberFormat="1" applyFont="1" applyFill="1" applyBorder="1"/>
    <x:xf numFmtId="201" fontId="3" fillId="7" borderId="19" xfId="0" applyNumberFormat="1" applyFont="1" applyFill="1" applyBorder="1"/>
    <x:xf numFmtId="201" fontId="3" fillId="7" borderId="20" xfId="0" applyNumberFormat="1" applyFont="1" applyFill="1" applyBorder="1"/>
    <x:xf numFmtId="201" fontId="3" fillId="7" borderId="21" xfId="0" applyNumberFormat="1" applyFont="1" applyFill="1" applyBorder="1"/>
    <x:xf numFmtId="201" fontId="3" fillId="7" xfId="0" applyNumberFormat="1" applyFont="1" applyFill="1" applyBorder="0"/>
    <x:xf numFmtId="201" fontId="3" fillId="7" borderId="22" xfId="0" applyNumberFormat="1" applyFont="1" applyFill="1" applyBorder="1"/>
    <x:xf numFmtId="201" fontId="3" fillId="7" borderId="23" xfId="0" applyNumberFormat="1" applyFont="1" applyFill="1" applyBorder="1"/>
    <x:xf numFmtId="201" fontId="3" fillId="7" borderId="24" xfId="0" applyNumberFormat="1" applyFont="1" applyFill="1" applyBorder="1"/>
    <x:xf numFmtId="201" fontId="3" fillId="7" borderId="25" xfId="0" applyNumberFormat="1" applyFont="1" applyFill="1" applyBorder="1"/>
    <x:xf numFmtId="201" fontId="3" fillId="7" borderId="18" xfId="0" applyNumberFormat="1" applyFont="1" applyFill="1" applyBorder="1" applyAlignment="1">
      <x:alignment horizontal="center"/>
    </x:xf>
    <x:xf numFmtId="201" fontId="3" fillId="7" borderId="19" xfId="0" applyNumberFormat="1" applyFont="1" applyFill="1" applyBorder="1" applyAlignment="1">
      <x:alignment horizontal="center"/>
    </x:xf>
    <x:xf numFmtId="201" fontId="3" fillId="7" borderId="20" xfId="0" applyNumberFormat="1" applyFont="1" applyFill="1" applyBorder="1" applyAlignment="1">
      <x:alignment horizontal="center"/>
    </x:xf>
    <x:xf numFmtId="201" fontId="3" fillId="7" borderId="21" xfId="0" applyNumberFormat="1" applyFont="1" applyFill="1" applyBorder="1" applyAlignment="1">
      <x:alignment horizontal="center"/>
    </x:xf>
    <x:xf numFmtId="201" fontId="3" fillId="7" xfId="0" applyNumberFormat="1" applyFont="1" applyFill="1" applyBorder="0" applyAlignment="1">
      <x:alignment horizontal="center"/>
    </x:xf>
    <x:xf numFmtId="201" fontId="3" fillId="7" borderId="22" xfId="0" applyNumberFormat="1" applyFont="1" applyFill="1" applyBorder="1" applyAlignment="1">
      <x:alignment horizontal="center"/>
    </x:xf>
    <x:xf numFmtId="201" fontId="3" fillId="7" borderId="23" xfId="0" applyNumberFormat="1" applyFont="1" applyFill="1" applyBorder="1" applyAlignment="1">
      <x:alignment horizontal="center"/>
    </x:xf>
    <x:xf numFmtId="201" fontId="3" fillId="7" borderId="24" xfId="0" applyNumberFormat="1" applyFont="1" applyFill="1" applyBorder="1" applyAlignment="1">
      <x:alignment horizontal="center"/>
    </x:xf>
    <x:xf numFmtId="201" fontId="3" fillId="7" borderId="25" xfId="0" applyNumberFormat="1" applyFont="1" applyFill="1" applyBorder="1" applyAlignment="1">
      <x:alignment horizontal="center"/>
    </x:xf>
    <x:xf numFmtId="201" fontId="3" fillId="7" borderId="18" xfId="0" applyNumberFormat="1" applyFont="1" applyFill="1" applyBorder="1" applyAlignment="1">
      <x:alignment horizontal="center" vertical="center"/>
    </x:xf>
    <x:xf numFmtId="201" fontId="3" fillId="7" borderId="19" xfId="0" applyNumberFormat="1" applyFont="1" applyFill="1" applyBorder="1" applyAlignment="1">
      <x:alignment horizontal="center" vertical="center"/>
    </x:xf>
    <x:xf numFmtId="201" fontId="3" fillId="7" borderId="20" xfId="0" applyNumberFormat="1" applyFont="1" applyFill="1" applyBorder="1" applyAlignment="1">
      <x:alignment horizontal="center" vertical="center"/>
    </x:xf>
    <x:xf numFmtId="201" fontId="3" fillId="7" borderId="21" xfId="0" applyNumberFormat="1" applyFont="1" applyFill="1" applyBorder="1" applyAlignment="1">
      <x:alignment horizontal="center" vertical="center"/>
    </x:xf>
    <x:xf numFmtId="201" fontId="3" fillId="7" xfId="0" applyNumberFormat="1" applyFont="1" applyFill="1" applyBorder="0" applyAlignment="1">
      <x:alignment horizontal="center" vertical="center"/>
    </x:xf>
    <x:xf numFmtId="201" fontId="3" fillId="7" borderId="22" xfId="0" applyNumberFormat="1" applyFont="1" applyFill="1" applyBorder="1" applyAlignment="1">
      <x:alignment horizontal="center" vertical="center"/>
    </x:xf>
    <x:xf numFmtId="201" fontId="3" fillId="7" borderId="23" xfId="0" applyNumberFormat="1" applyFont="1" applyFill="1" applyBorder="1" applyAlignment="1">
      <x:alignment horizontal="center" vertical="center"/>
    </x:xf>
    <x:xf numFmtId="201" fontId="3" fillId="7" borderId="24" xfId="0" applyNumberFormat="1" applyFont="1" applyFill="1" applyBorder="1" applyAlignment="1">
      <x:alignment horizontal="center" vertical="center"/>
    </x:xf>
    <x:xf numFmtId="201" fontId="3" fillId="7" borderId="25" xfId="0" applyNumberFormat="1" applyFont="1" applyFill="1" applyBorder="1" applyAlignment="1">
      <x:alignment horizontal="center" vertical="center"/>
    </x:xf>
    <x:xf numFmtId="204" fontId="3" fillId="7" borderId="18" xfId="0" applyNumberFormat="1" applyFont="1" applyFill="1" applyBorder="1"/>
    <x:xf numFmtId="204" fontId="3" fillId="7" borderId="19" xfId="0" applyNumberFormat="1" applyFont="1" applyFill="1" applyBorder="1"/>
    <x:xf numFmtId="204" fontId="3" fillId="7" borderId="20" xfId="0" applyNumberFormat="1" applyFont="1" applyFill="1" applyBorder="1"/>
    <x:xf numFmtId="204" fontId="3" fillId="7" borderId="21" xfId="0" applyNumberFormat="1" applyFont="1" applyFill="1" applyBorder="1"/>
    <x:xf numFmtId="204" fontId="3" fillId="7" xfId="0" applyNumberFormat="1" applyFont="1" applyFill="1" applyBorder="0"/>
    <x:xf numFmtId="204" fontId="3" fillId="7" borderId="22" xfId="0" applyNumberFormat="1" applyFont="1" applyFill="1" applyBorder="1"/>
    <x:xf numFmtId="204" fontId="3" fillId="7" borderId="23" xfId="0" applyNumberFormat="1" applyFont="1" applyFill="1" applyBorder="1"/>
    <x:xf numFmtId="204" fontId="3" fillId="7" borderId="24" xfId="0" applyNumberFormat="1" applyFont="1" applyFill="1" applyBorder="1"/>
    <x:xf numFmtId="204" fontId="3" fillId="7" borderId="25" xfId="0" applyNumberFormat="1" applyFont="1" applyFill="1" applyBorder="1"/>
    <x:xf numFmtId="204" fontId="3" fillId="7" borderId="18" xfId="0" applyNumberFormat="1" applyFont="1" applyFill="1" applyBorder="1" applyAlignment="1">
      <x:alignment horizontal="center"/>
    </x:xf>
    <x:xf numFmtId="204" fontId="3" fillId="7" borderId="19" xfId="0" applyNumberFormat="1" applyFont="1" applyFill="1" applyBorder="1" applyAlignment="1">
      <x:alignment horizontal="center"/>
    </x:xf>
    <x:xf numFmtId="204" fontId="3" fillId="7" borderId="20" xfId="0" applyNumberFormat="1" applyFont="1" applyFill="1" applyBorder="1" applyAlignment="1">
      <x:alignment horizontal="center"/>
    </x:xf>
    <x:xf numFmtId="204" fontId="3" fillId="7" borderId="21" xfId="0" applyNumberFormat="1" applyFont="1" applyFill="1" applyBorder="1" applyAlignment="1">
      <x:alignment horizontal="center"/>
    </x:xf>
    <x:xf numFmtId="204" fontId="3" fillId="7" xfId="0" applyNumberFormat="1" applyFont="1" applyFill="1" applyBorder="0" applyAlignment="1">
      <x:alignment horizontal="center"/>
    </x:xf>
    <x:xf numFmtId="204" fontId="3" fillId="7" borderId="22" xfId="0" applyNumberFormat="1" applyFont="1" applyFill="1" applyBorder="1" applyAlignment="1">
      <x:alignment horizontal="center"/>
    </x:xf>
    <x:xf numFmtId="204" fontId="3" fillId="7" borderId="23" xfId="0" applyNumberFormat="1" applyFont="1" applyFill="1" applyBorder="1" applyAlignment="1">
      <x:alignment horizontal="center"/>
    </x:xf>
    <x:xf numFmtId="204" fontId="3" fillId="7" borderId="24" xfId="0" applyNumberFormat="1" applyFont="1" applyFill="1" applyBorder="1" applyAlignment="1">
      <x:alignment horizontal="center"/>
    </x:xf>
    <x:xf numFmtId="204" fontId="3" fillId="7" borderId="25" xfId="0" applyNumberFormat="1" applyFont="1" applyFill="1" applyBorder="1" applyAlignment="1">
      <x:alignment horizontal="center"/>
    </x:xf>
    <x:xf numFmtId="204" fontId="3" fillId="7" borderId="18" xfId="0" applyNumberFormat="1" applyFont="1" applyFill="1" applyBorder="1" applyAlignment="1">
      <x:alignment horizontal="center" vertical="center"/>
    </x:xf>
    <x:xf numFmtId="204" fontId="3" fillId="7" borderId="19" xfId="0" applyNumberFormat="1" applyFont="1" applyFill="1" applyBorder="1" applyAlignment="1">
      <x:alignment horizontal="center" vertical="center"/>
    </x:xf>
    <x:xf numFmtId="204" fontId="3" fillId="7" borderId="20" xfId="0" applyNumberFormat="1" applyFont="1" applyFill="1" applyBorder="1" applyAlignment="1">
      <x:alignment horizontal="center" vertical="center"/>
    </x:xf>
    <x:xf numFmtId="204" fontId="3" fillId="7" borderId="21" xfId="0" applyNumberFormat="1" applyFont="1" applyFill="1" applyBorder="1" applyAlignment="1">
      <x:alignment horizontal="center" vertical="center"/>
    </x:xf>
    <x:xf numFmtId="204" fontId="3" fillId="7" xfId="0" applyNumberFormat="1" applyFont="1" applyFill="1" applyBorder="0" applyAlignment="1">
      <x:alignment horizontal="center" vertical="center"/>
    </x:xf>
    <x:xf numFmtId="204" fontId="3" fillId="7" borderId="22" xfId="0" applyNumberFormat="1" applyFont="1" applyFill="1" applyBorder="1" applyAlignment="1">
      <x:alignment horizontal="center" vertical="center"/>
    </x:xf>
    <x:xf numFmtId="204" fontId="3" fillId="7" borderId="23" xfId="0" applyNumberFormat="1" applyFont="1" applyFill="1" applyBorder="1" applyAlignment="1">
      <x:alignment horizontal="center" vertical="center"/>
    </x:xf>
    <x:xf numFmtId="204" fontId="3" fillId="7" borderId="24" xfId="0" applyNumberFormat="1" applyFont="1" applyFill="1" applyBorder="1" applyAlignment="1">
      <x:alignment horizontal="center" vertical="center"/>
    </x:xf>
    <x:xf numFmtId="204" fontId="3" fillId="7" borderId="25" xfId="0" applyNumberFormat="1" applyFont="1" applyFill="1" applyBorder="1" applyAlignment="1">
      <x:alignment horizontal="center" vertical="center"/>
    </x:xf>
    <x:xf numFmtId="202" fontId="3" fillId="7" borderId="18" xfId="0" applyNumberFormat="1" applyFont="1" applyFill="1" applyBorder="1"/>
    <x:xf numFmtId="202" fontId="3" fillId="7" borderId="19" xfId="0" applyNumberFormat="1" applyFont="1" applyFill="1" applyBorder="1"/>
    <x:xf numFmtId="202" fontId="3" fillId="7" borderId="20" xfId="0" applyNumberFormat="1" applyFont="1" applyFill="1" applyBorder="1"/>
    <x:xf numFmtId="202" fontId="3" fillId="7" borderId="21" xfId="0" applyNumberFormat="1" applyFont="1" applyFill="1" applyBorder="1"/>
    <x:xf numFmtId="202" fontId="3" fillId="7" xfId="0" applyNumberFormat="1" applyFont="1" applyFill="1" applyBorder="0"/>
    <x:xf numFmtId="202" fontId="3" fillId="7" borderId="22" xfId="0" applyNumberFormat="1" applyFont="1" applyFill="1" applyBorder="1"/>
    <x:xf numFmtId="202" fontId="3" fillId="7" borderId="23" xfId="0" applyNumberFormat="1" applyFont="1" applyFill="1" applyBorder="1"/>
    <x:xf numFmtId="202" fontId="3" fillId="7" borderId="24" xfId="0" applyNumberFormat="1" applyFont="1" applyFill="1" applyBorder="1"/>
    <x:xf numFmtId="202" fontId="3" fillId="7" borderId="25" xfId="0" applyNumberFormat="1" applyFont="1" applyFill="1" applyBorder="1"/>
    <x:xf numFmtId="202" fontId="3" fillId="7" borderId="18" xfId="0" applyNumberFormat="1" applyFont="1" applyFill="1" applyBorder="1" applyAlignment="1">
      <x:alignment horizontal="center"/>
    </x:xf>
    <x:xf numFmtId="202" fontId="3" fillId="7" borderId="19" xfId="0" applyNumberFormat="1" applyFont="1" applyFill="1" applyBorder="1" applyAlignment="1">
      <x:alignment horizontal="center"/>
    </x:xf>
    <x:xf numFmtId="202" fontId="3" fillId="7" borderId="20" xfId="0" applyNumberFormat="1" applyFont="1" applyFill="1" applyBorder="1" applyAlignment="1">
      <x:alignment horizontal="center"/>
    </x:xf>
    <x:xf numFmtId="202" fontId="3" fillId="7" borderId="21" xfId="0" applyNumberFormat="1" applyFont="1" applyFill="1" applyBorder="1" applyAlignment="1">
      <x:alignment horizontal="center"/>
    </x:xf>
    <x:xf numFmtId="202" fontId="3" fillId="7" xfId="0" applyNumberFormat="1" applyFont="1" applyFill="1" applyBorder="0" applyAlignment="1">
      <x:alignment horizontal="center"/>
    </x:xf>
    <x:xf numFmtId="202" fontId="3" fillId="7" borderId="22" xfId="0" applyNumberFormat="1" applyFont="1" applyFill="1" applyBorder="1" applyAlignment="1">
      <x:alignment horizontal="center"/>
    </x:xf>
    <x:xf numFmtId="202" fontId="3" fillId="7" borderId="23" xfId="0" applyNumberFormat="1" applyFont="1" applyFill="1" applyBorder="1" applyAlignment="1">
      <x:alignment horizontal="center"/>
    </x:xf>
    <x:xf numFmtId="202" fontId="3" fillId="7" borderId="24" xfId="0" applyNumberFormat="1" applyFont="1" applyFill="1" applyBorder="1" applyAlignment="1">
      <x:alignment horizontal="center"/>
    </x:xf>
    <x:xf numFmtId="202" fontId="3" fillId="7" borderId="25" xfId="0" applyNumberFormat="1" applyFont="1" applyFill="1" applyBorder="1" applyAlignment="1">
      <x:alignment horizontal="center"/>
    </x:xf>
    <x:xf numFmtId="202" fontId="3" fillId="7" borderId="18" xfId="0" applyNumberFormat="1" applyFont="1" applyFill="1" applyBorder="1" applyAlignment="1">
      <x:alignment horizontal="center" vertical="center"/>
    </x:xf>
    <x:xf numFmtId="202" fontId="3" fillId="7" borderId="19" xfId="0" applyNumberFormat="1" applyFont="1" applyFill="1" applyBorder="1" applyAlignment="1">
      <x:alignment horizontal="center" vertical="center"/>
    </x:xf>
    <x:xf numFmtId="202" fontId="3" fillId="7" borderId="20" xfId="0" applyNumberFormat="1" applyFont="1" applyFill="1" applyBorder="1" applyAlignment="1">
      <x:alignment horizontal="center" vertical="center"/>
    </x:xf>
    <x:xf numFmtId="202" fontId="3" fillId="7" borderId="21" xfId="0" applyNumberFormat="1" applyFont="1" applyFill="1" applyBorder="1" applyAlignment="1">
      <x:alignment horizontal="center" vertical="center"/>
    </x:xf>
    <x:xf numFmtId="202" fontId="3" fillId="7" xfId="0" applyNumberFormat="1" applyFont="1" applyFill="1" applyBorder="0" applyAlignment="1">
      <x:alignment horizontal="center" vertical="center"/>
    </x:xf>
    <x:xf numFmtId="202" fontId="3" fillId="7" borderId="22" xfId="0" applyNumberFormat="1" applyFont="1" applyFill="1" applyBorder="1" applyAlignment="1">
      <x:alignment horizontal="center" vertical="center"/>
    </x:xf>
    <x:xf numFmtId="202" fontId="3" fillId="7" borderId="23" xfId="0" applyNumberFormat="1" applyFont="1" applyFill="1" applyBorder="1" applyAlignment="1">
      <x:alignment horizontal="center" vertical="center"/>
    </x:xf>
    <x:xf numFmtId="202" fontId="3" fillId="7" borderId="24" xfId="0" applyNumberFormat="1" applyFont="1" applyFill="1" applyBorder="1" applyAlignment="1">
      <x:alignment horizontal="center" vertical="center"/>
    </x:xf>
    <x:xf numFmtId="202" fontId="3" fillId="7" borderId="25" xfId="0" applyNumberFormat="1" applyFont="1" applyFill="1" applyBorder="1" applyAlignment="1">
      <x:alignment horizontal="center" vertical="center"/>
    </x:xf>
    <x:xf numFmtId="0" fontId="4" fillId="8" borderId="0" xfId="0" applyNumberFormat="1" applyFont="1" applyFill="1" applyBorder="1" applyAlignment="1">
      <x:alignment wrapText="1"/>
    </x:xf>
    <x:xf numFmtId="0" fontId="4" fillId="8" borderId="0" xfId="0" applyNumberFormat="1" applyFont="1" applyFill="1" applyBorder="1" applyAlignment="1">
      <x:alignment horizontal="center" wrapText="1"/>
    </x:xf>
    <x:xf numFmtId="0" fontId="4" fillId="8" borderId="0" xfId="0" applyNumberFormat="1" applyFont="1" applyFill="1" applyBorder="1" applyAlignment="1">
      <x:alignment horizontal="center" vertical="center" wrapText="1"/>
    </x:xf>
    <x:xf numFmtId="0" fontId="3" fillId="8" borderId="0" xfId="0" applyNumberFormat="1" applyFont="1" applyFill="1" applyBorder="1"/>
    <x:xf numFmtId="0" fontId="3" fillId="8" borderId="0" xfId="0" applyNumberFormat="1" applyFont="1" applyFill="1" applyBorder="1" applyAlignment="1">
      <x:alignment vertical="center"/>
    </x:xf>
    <x:xf numFmtId="0" fontId="2" fillId="7" borderId="0" xfId="0" applyNumberFormat="1" applyFont="1" applyFill="1" applyBorder="1" applyAlignment="1">
      <x:alignment wrapText="1"/>
    </x:xf>
    <x:xf numFmtId="0" fontId="2" fillId="7" borderId="0" xfId="0" applyNumberFormat="1" applyFont="1" applyFill="1" applyBorder="1" applyAlignment="1">
      <x:alignment vertical="center" wrapText="1"/>
    </x:xf>
    <x:xf numFmtId="0" fontId="2" fillId="7" borderId="0" xfId="0" applyNumberFormat="1" applyFont="1" applyFill="1" applyBorder="1" applyAlignment="1">
      <x:alignment vertical="top" wrapText="1"/>
    </x:xf>
    <x:xf numFmtId="0" fontId="0" fillId="10" borderId="0" xfId="0" applyNumberFormat="1" applyFont="1" applyFill="1" applyBorder="1"/>
    <x:xf numFmtId="0" fontId="5" fillId="10" borderId="0" xfId="0" applyNumberFormat="1" applyFont="1" applyFill="1" applyBorder="1"/>
    <x:xf numFmtId="0" fontId="5" fillId="10" borderId="0" xfId="0" applyNumberFormat="1" applyFont="1" applyFill="1" applyBorder="1" applyAlignment="1">
      <x:alignment horizontal="center"/>
    </x:xf>
    <x:xf numFmtId="0" fontId="0" fillId="11" borderId="0" xfId="0" applyNumberFormat="1" applyFont="1" applyFill="1" applyBorder="1" applyAlignment="1">
      <x:alignment vertical="top"/>
    </x:xf>
    <x:xf numFmtId="0" fontId="1" fillId="11" borderId="0" xfId="0" applyNumberFormat="1" applyFont="1" applyFill="1" applyBorder="1" applyAlignment="1">
      <x:alignment vertical="top"/>
    </x:xf>
    <x:xf numFmtId="0" fontId="1" fillId="11" borderId="0" xfId="0" applyNumberFormat="1" applyFont="1" applyFill="1" applyBorder="1" applyAlignment="1">
      <x:alignment vertical="top" wrapText="1"/>
    </x:xf>
    <x:xf numFmtId="0" fontId="1" fillId="11" borderId="0" xfId="0" applyNumberFormat="1" applyFont="1" applyFill="1" applyBorder="1" applyAlignment="1">
      <x:alignment horizontal="center" vertical="top" wrapText="1"/>
    </x:xf>
    <x:xf numFmtId="0" fontId="1" fillId="11" borderId="0" xfId="0" applyNumberFormat="1" applyFont="1" applyFill="1" applyBorder="1" applyAlignment="1">
      <x:alignment horizontal="center" vertical="center" wrapText="1"/>
    </x:xf>
    <x:xf numFmtId="0" fontId="0" fillId="0" borderId="29" xfId="0" applyNumberFormat="1" applyFont="1" applyFill="1" applyBorder="1" applyAlignment="1">
      <x:alignment vertical="top" wrapText="1"/>
    </x:xf>
    <x:xf numFmtId="0" fontId="0" fillId="0" borderId="30" xfId="0" applyNumberFormat="1" applyFont="1" applyFill="1" applyBorder="1" applyAlignment="1">
      <x:alignment vertical="top" wrapText="1"/>
    </x:xf>
    <x:xf numFmtId="0" fontId="0" fillId="0" borderId="31" xfId="0" applyNumberFormat="1" applyFont="1" applyFill="1" applyBorder="1" applyAlignment="1">
      <x:alignment vertical="top" wrapText="1"/>
    </x:xf>
    <x:xf numFmtId="0" fontId="0" fillId="0" borderId="32" xfId="0" applyNumberFormat="1" applyFont="1" applyFill="1" applyBorder="1" applyAlignment="1">
      <x:alignment vertical="top" wrapText="1"/>
    </x:xf>
    <x:xf numFmtId="0" fontId="0" fillId="0" xfId="0" applyNumberFormat="1" applyFont="1" applyFill="1" applyBorder="0" applyAlignment="1">
      <x:alignment vertical="top" wrapText="1"/>
    </x:xf>
    <x:xf numFmtId="0" fontId="0" fillId="0" borderId="33" xfId="0" applyNumberFormat="1" applyFont="1" applyFill="1" applyBorder="1" applyAlignment="1">
      <x:alignment vertical="top" wrapText="1"/>
    </x:xf>
    <x:xf numFmtId="0" fontId="0" fillId="0" borderId="34" xfId="0" applyNumberFormat="1" applyFont="1" applyFill="1" applyBorder="1" applyAlignment="1">
      <x:alignment vertical="top" wrapText="1"/>
    </x:xf>
    <x:xf numFmtId="0" fontId="0" fillId="0" borderId="35" xfId="0" applyNumberFormat="1" applyFont="1" applyFill="1" applyBorder="1" applyAlignment="1">
      <x:alignment vertical="top" wrapText="1"/>
    </x:xf>
    <x:xf numFmtId="0" fontId="0" fillId="0" borderId="36" xfId="0" applyNumberFormat="1" applyFont="1" applyFill="1" applyBorder="1" applyAlignment="1">
      <x:alignment vertical="top" wrapText="1"/>
    </x:xf>
    <x:xf numFmtId="0" fontId="6" fillId="0" borderId="29" xfId="0" applyNumberFormat="1" applyFont="1" applyFill="1" applyBorder="1" applyAlignment="1">
      <x:alignment vertical="top" wrapText="1"/>
    </x:xf>
    <x:xf numFmtId="0" fontId="6" fillId="0" borderId="30" xfId="0" applyNumberFormat="1" applyFont="1" applyFill="1" applyBorder="1" applyAlignment="1">
      <x:alignment vertical="top" wrapText="1"/>
    </x:xf>
    <x:xf numFmtId="0" fontId="6" fillId="0" borderId="31" xfId="0" applyNumberFormat="1" applyFont="1" applyFill="1" applyBorder="1" applyAlignment="1">
      <x:alignment vertical="top" wrapText="1"/>
    </x:xf>
    <x:xf numFmtId="0" fontId="6" fillId="0" borderId="32" xfId="0" applyNumberFormat="1" applyFont="1" applyFill="1" applyBorder="1" applyAlignment="1">
      <x:alignment vertical="top" wrapText="1"/>
    </x:xf>
    <x:xf numFmtId="0" fontId="6" fillId="0" xfId="0" applyNumberFormat="1" applyFont="1" applyFill="1" applyBorder="0" applyAlignment="1">
      <x:alignment vertical="top" wrapText="1"/>
    </x:xf>
    <x:xf numFmtId="0" fontId="6" fillId="0" borderId="33" xfId="0" applyNumberFormat="1" applyFont="1" applyFill="1" applyBorder="1" applyAlignment="1">
      <x:alignment vertical="top" wrapText="1"/>
    </x:xf>
    <x:xf numFmtId="0" fontId="6" fillId="0" borderId="34" xfId="0" applyNumberFormat="1" applyFont="1" applyFill="1" applyBorder="1" applyAlignment="1">
      <x:alignment vertical="top" wrapText="1"/>
    </x:xf>
    <x:xf numFmtId="0" fontId="6" fillId="0" borderId="35" xfId="0" applyNumberFormat="1" applyFont="1" applyFill="1" applyBorder="1" applyAlignment="1">
      <x:alignment vertical="top" wrapText="1"/>
    </x:xf>
    <x:xf numFmtId="0" fontId="6" fillId="0" borderId="36" xfId="0" applyNumberFormat="1" applyFont="1" applyFill="1" applyBorder="1" applyAlignment="1">
      <x:alignment vertical="top" wrapText="1"/>
    </x:xf>
    <x:xf numFmtId="0" fontId="0" fillId="12" borderId="0" xfId="0" applyNumberFormat="1" applyFont="1" applyFill="1" applyBorder="1"/>
    <x:xf numFmtId="0" fontId="1" fillId="12" borderId="0" xfId="0" applyNumberFormat="1" applyFont="1" applyFill="1" applyBorder="1"/>
    <x:xf numFmtId="0" fontId="1" fillId="12" borderId="0" xfId="0" applyNumberFormat="1" applyFont="1" applyFill="1" applyBorder="1" applyAlignment="1">
      <x:alignment wrapText="1"/>
    </x:xf>
    <x:xf numFmtId="0" fontId="1" fillId="12" borderId="0" xfId="0" applyNumberFormat="1" applyFont="1" applyFill="1" applyBorder="1" applyAlignment="1">
      <x:alignment horizontal="center" wrapText="1"/>
    </x:xf>
    <x:xf numFmtId="0" fontId="1" fillId="12" borderId="0" xfId="0" applyNumberFormat="1" applyFont="1" applyFill="1" applyBorder="1" applyAlignment="1">
      <x:alignment horizontal="center" vertical="center" wrapText="1"/>
    </x:xf>
    <x:xf numFmtId="0" fontId="0" fillId="13" borderId="0" xfId="0" applyNumberFormat="1" applyFont="1" applyFill="1" applyBorder="1"/>
    <x:xf numFmtId="0" fontId="2" fillId="13" borderId="0" xfId="0" applyNumberFormat="1" applyFont="1" applyFill="1" applyBorder="1"/>
    <x:xf numFmtId="0" fontId="2" fillId="13" borderId="0" xfId="0" applyNumberFormat="1" applyFont="1" applyFill="1" applyBorder="1" applyAlignment="1">
      <x:alignment wrapText="1"/>
    </x:xf>
    <x:xf numFmtId="0" fontId="2" fillId="13" borderId="0" xfId="0" applyNumberFormat="1" applyFont="1" applyFill="1" applyBorder="1" applyAlignment="1">
      <x:alignment vertical="top" wrapText="1"/>
    </x:xf>
    <x:xf numFmtId="0" fontId="1" fillId="12" borderId="18" xfId="0" applyNumberFormat="1" applyFont="1" applyFill="1" applyBorder="1" applyAlignment="1">
      <x:alignment horizontal="center" vertical="center" wrapText="1"/>
    </x:xf>
    <x:xf numFmtId="0" fontId="1" fillId="12" borderId="20" xfId="0" applyNumberFormat="1" applyFont="1" applyFill="1" applyBorder="1" applyAlignment="1">
      <x:alignment horizontal="center" vertical="center" wrapText="1"/>
    </x:xf>
    <x:xf numFmtId="0" fontId="2" fillId="13" borderId="21" xfId="0" applyNumberFormat="1" applyFont="1" applyFill="1" applyBorder="1" applyAlignment="1">
      <x:alignment vertical="top" wrapText="1"/>
    </x:xf>
    <x:xf numFmtId="0" fontId="2" fillId="13" borderId="22" xfId="0" applyNumberFormat="1" applyFont="1" applyFill="1" applyBorder="1" applyAlignment="1">
      <x:alignment vertical="top" wrapText="1"/>
    </x:xf>
    <x:xf numFmtId="0" fontId="2" fillId="13" borderId="23" xfId="0" applyNumberFormat="1" applyFont="1" applyFill="1" applyBorder="1" applyAlignment="1">
      <x:alignment vertical="top" wrapText="1"/>
    </x:xf>
    <x:xf numFmtId="0" fontId="2" fillId="13" borderId="25" xfId="0" applyNumberFormat="1" applyFont="1" applyFill="1" applyBorder="1" applyAlignment="1">
      <x:alignment vertical="top" wrapText="1"/>
    </x:xf>
    <x:xf numFmtId="0" fontId="1" fillId="12" borderId="0" xfId="0" applyNumberFormat="1" applyFont="1" applyFill="1" applyBorder="1" applyAlignment="1">
      <x:alignment horizontal="left"/>
    </x:xf>
    <x:xf numFmtId="0" fontId="1" fillId="12" borderId="0" xfId="0" applyNumberFormat="1" applyFont="1" applyFill="1" applyBorder="1" applyAlignment="1">
      <x:alignment horizontal="left" vertical="center"/>
    </x:xf>
    <x:xf numFmtId="0" fontId="0" fillId="14" borderId="0" xfId="0" applyNumberFormat="1" applyFont="1" applyFill="1" applyBorder="1"/>
    <x:xf numFmtId="0" fontId="4" fillId="14" borderId="0" xfId="0" applyNumberFormat="1" applyFont="1" applyFill="1" applyBorder="1"/>
    <x:xf numFmtId="0" fontId="4" fillId="14" borderId="0" xfId="0" applyNumberFormat="1" applyFont="1" applyFill="1" applyBorder="1" applyAlignment="1">
      <x:alignment vertical="center"/>
    </x:xf>
    <x:xf numFmtId="0" fontId="3" fillId="14" borderId="0" xfId="0" applyNumberFormat="1" applyFont="1" applyFill="1" applyBorder="1"/>
    <x:xf numFmtId="0" fontId="3" fillId="14" borderId="37" xfId="0" applyNumberFormat="1" applyFont="1" applyFill="1" applyBorder="1"/>
    <x:xf numFmtId="0" fontId="3" fillId="14" borderId="37" xfId="0" applyNumberFormat="1" applyFont="1" applyFill="1" applyBorder="1" applyAlignment="1">
      <x:alignment horizontal="left"/>
    </x:xf>
    <x:xf numFmtId="0" fontId="3" fillId="14" borderId="37" xfId="0" applyNumberFormat="1" applyFont="1" applyFill="1" applyBorder="1" applyAlignment="1">
      <x:alignment horizontal="left" vertical="center"/>
    </x:xf>
    <x:xf numFmtId="0" fontId="0" fillId="15" borderId="0" xfId="0" applyNumberFormat="1" applyFont="1" applyFill="1" applyBorder="1"/>
    <x:xf numFmtId="0" fontId="3" fillId="15" borderId="0" xfId="0" applyNumberFormat="1" applyFont="1" applyFill="1" applyBorder="1"/>
    <x:xf numFmtId="0" fontId="3" fillId="15" borderId="38" xfId="0" applyNumberFormat="1" applyFont="1" applyFill="1" applyBorder="1"/>
    <x:xf numFmtId="0" fontId="3" fillId="15" borderId="39" xfId="0" applyNumberFormat="1" applyFont="1" applyFill="1" applyBorder="1"/>
    <x:xf numFmtId="0" fontId="3" fillId="15" borderId="40" xfId="0" applyNumberFormat="1" applyFont="1" applyFill="1" applyBorder="1"/>
    <x:xf numFmtId="0" fontId="3" fillId="15" borderId="38" xfId="0" applyNumberFormat="1" applyFont="1" applyFill="1" applyBorder="1" applyAlignment="1">
      <x:alignment horizontal="center"/>
    </x:xf>
    <x:xf numFmtId="0" fontId="3" fillId="15" borderId="39" xfId="0" applyNumberFormat="1" applyFont="1" applyFill="1" applyBorder="1" applyAlignment="1">
      <x:alignment horizontal="center"/>
    </x:xf>
    <x:xf numFmtId="0" fontId="3" fillId="15" borderId="40" xfId="0" applyNumberFormat="1" applyFont="1" applyFill="1" applyBorder="1" applyAlignment="1">
      <x:alignment horizontal="center"/>
    </x:xf>
    <x:xf numFmtId="0" fontId="3" fillId="15" borderId="38" xfId="0" applyNumberFormat="1" applyFont="1" applyFill="1" applyBorder="1" applyAlignment="1">
      <x:alignment horizontal="center" vertical="center"/>
    </x:xf>
    <x:xf numFmtId="0" fontId="3" fillId="15" borderId="39" xfId="0" applyNumberFormat="1" applyFont="1" applyFill="1" applyBorder="1" applyAlignment="1">
      <x:alignment horizontal="center" vertical="center"/>
    </x:xf>
    <x:xf numFmtId="0" fontId="3" fillId="15" borderId="40" xfId="0" applyNumberFormat="1" applyFont="1" applyFill="1" applyBorder="1" applyAlignment="1">
      <x:alignment horizontal="center" vertical="center"/>
    </x:xf>
    <x:xf numFmtId="0" fontId="2" fillId="13" borderId="26" xfId="0" applyNumberFormat="1" applyFont="1" applyFill="1" applyBorder="1"/>
    <x:xf numFmtId="0" fontId="2" fillId="13" borderId="27" xfId="0" applyNumberFormat="1" applyFont="1" applyFill="1" applyBorder="1"/>
    <x:xf numFmtId="0" fontId="2" fillId="13" borderId="28" xfId="0" applyNumberFormat="1" applyFont="1" applyFill="1" applyBorder="1"/>
    <x:xf numFmtId="0" fontId="2" fillId="13" borderId="26" xfId="0" applyNumberFormat="1" applyFont="1" applyFill="1" applyBorder="1" applyAlignment="1">
      <x:alignment wrapText="1"/>
    </x:xf>
    <x:xf numFmtId="0" fontId="2" fillId="13" borderId="27" xfId="0" applyNumberFormat="1" applyFont="1" applyFill="1" applyBorder="1" applyAlignment="1">
      <x:alignment wrapText="1"/>
    </x:xf>
    <x:xf numFmtId="0" fontId="2" fillId="13" borderId="28" xfId="0" applyNumberFormat="1" applyFont="1" applyFill="1" applyBorder="1" applyAlignment="1">
      <x:alignment wrapText="1"/>
    </x:xf>
    <x:xf numFmtId="0" fontId="2" fillId="13" borderId="26" xfId="0" applyNumberFormat="1" applyFont="1" applyFill="1" applyBorder="1" applyAlignment="1">
      <x:alignment horizontal="left" wrapText="1"/>
    </x:xf>
    <x:xf numFmtId="0" fontId="2" fillId="13" borderId="27" xfId="0" applyNumberFormat="1" applyFont="1" applyFill="1" applyBorder="1" applyAlignment="1">
      <x:alignment horizontal="left" wrapText="1"/>
    </x:xf>
    <x:xf numFmtId="0" fontId="2" fillId="13" borderId="28" xfId="0" applyNumberFormat="1" applyFont="1" applyFill="1" applyBorder="1" applyAlignment="1">
      <x:alignment horizontal="left" wrapText="1"/>
    </x:xf>
    <x:xf numFmtId="0" fontId="2" fillId="13" borderId="26" xfId="0" applyNumberFormat="1" applyFont="1" applyFill="1" applyBorder="1" applyAlignment="1">
      <x:alignment horizontal="left" vertical="center" wrapText="1"/>
    </x:xf>
    <x:xf numFmtId="0" fontId="2" fillId="13" borderId="27" xfId="0" applyNumberFormat="1" applyFont="1" applyFill="1" applyBorder="1" applyAlignment="1">
      <x:alignment horizontal="left" vertical="center" wrapText="1"/>
    </x:xf>
    <x:xf numFmtId="0" fontId="2" fillId="13" borderId="28" xfId="0" applyNumberFormat="1" applyFont="1" applyFill="1" applyBorder="1" applyAlignment="1">
      <x:alignment horizontal="left" vertical="center" wrapText="1"/>
    </x:xf>
    <x:xf numFmtId="203" fontId="2" fillId="13" borderId="26" xfId="0" applyNumberFormat="1" applyFont="1" applyFill="1" applyBorder="1" applyAlignment="1">
      <x:alignment horizontal="left" vertical="center" wrapText="1"/>
    </x:xf>
    <x:xf numFmtId="203" fontId="2" fillId="13" borderId="27" xfId="0" applyNumberFormat="1" applyFont="1" applyFill="1" applyBorder="1" applyAlignment="1">
      <x:alignment horizontal="left" vertical="center" wrapText="1"/>
    </x:xf>
    <x:xf numFmtId="203" fontId="2" fillId="13" borderId="28" xfId="0" applyNumberFormat="1" applyFont="1" applyFill="1" applyBorder="1" applyAlignment="1">
      <x:alignment horizontal="left" vertical="center" wrapText="1"/>
    </x:xf>
    <x:xf numFmtId="0" fontId="0" fillId="11" borderId="0" xfId="0" applyNumberFormat="1" applyFont="1" applyFill="1" applyBorder="1"/>
    <x:xf numFmtId="0" fontId="1" fillId="11" borderId="0" xfId="0" applyNumberFormat="1" applyFont="1" applyFill="1" applyBorder="1"/>
    <x:xf numFmtId="0" fontId="1" fillId="11" borderId="0" xfId="0" applyNumberFormat="1" applyFont="1" applyFill="1" applyBorder="1" applyAlignment="1">
      <x:alignment horizontal="left"/>
    </x:xf>
    <x:xf numFmtId="0" fontId="1" fillId="11" borderId="0" xfId="0" applyNumberFormat="1" applyFont="1" applyFill="1" applyBorder="1" applyAlignment="1">
      <x:alignment horizontal="left" vertical="center"/>
    </x:xf>
    <x:xf numFmtId="0" fontId="2" fillId="13" borderId="18" xfId="0" applyNumberFormat="1" applyFont="1" applyFill="1" applyBorder="1"/>
    <x:xf numFmtId="0" fontId="2" fillId="13" borderId="19" xfId="0" applyNumberFormat="1" applyFont="1" applyFill="1" applyBorder="1"/>
    <x:xf numFmtId="0" fontId="2" fillId="13" borderId="20" xfId="0" applyNumberFormat="1" applyFont="1" applyFill="1" applyBorder="1"/>
    <x:xf numFmtId="0" fontId="2" fillId="13" borderId="21" xfId="0" applyNumberFormat="1" applyFont="1" applyFill="1" applyBorder="1"/>
    <x:xf numFmtId="0" fontId="2" fillId="13" xfId="0" applyNumberFormat="1" applyFont="1" applyFill="1" applyBorder="0"/>
    <x:xf numFmtId="0" fontId="2" fillId="13" borderId="22" xfId="0" applyNumberFormat="1" applyFont="1" applyFill="1" applyBorder="1"/>
    <x:xf numFmtId="0" fontId="2" fillId="13" borderId="23" xfId="0" applyNumberFormat="1" applyFont="1" applyFill="1" applyBorder="1"/>
    <x:xf numFmtId="0" fontId="2" fillId="13" borderId="24" xfId="0" applyNumberFormat="1" applyFont="1" applyFill="1" applyBorder="1"/>
    <x:xf numFmtId="0" fontId="2" fillId="13" borderId="25" xfId="0" applyNumberFormat="1" applyFont="1" applyFill="1" applyBorder="1"/>
    <x:xf numFmtId="0" fontId="2" fillId="13" borderId="18" xfId="0" applyNumberFormat="1" applyFont="1" applyFill="1" applyBorder="1" applyAlignment="1">
      <x:alignment wrapText="1"/>
    </x:xf>
    <x:xf numFmtId="0" fontId="2" fillId="13" borderId="19" xfId="0" applyNumberFormat="1" applyFont="1" applyFill="1" applyBorder="1" applyAlignment="1">
      <x:alignment wrapText="1"/>
    </x:xf>
    <x:xf numFmtId="0" fontId="2" fillId="13" borderId="20" xfId="0" applyNumberFormat="1" applyFont="1" applyFill="1" applyBorder="1" applyAlignment="1">
      <x:alignment wrapText="1"/>
    </x:xf>
    <x:xf numFmtId="0" fontId="2" fillId="13" borderId="21" xfId="0" applyNumberFormat="1" applyFont="1" applyFill="1" applyBorder="1" applyAlignment="1">
      <x:alignment wrapText="1"/>
    </x:xf>
    <x:xf numFmtId="0" fontId="2" fillId="13" xfId="0" applyNumberFormat="1" applyFont="1" applyFill="1" applyBorder="0" applyAlignment="1">
      <x:alignment wrapText="1"/>
    </x:xf>
    <x:xf numFmtId="0" fontId="2" fillId="13" borderId="22" xfId="0" applyNumberFormat="1" applyFont="1" applyFill="1" applyBorder="1" applyAlignment="1">
      <x:alignment wrapText="1"/>
    </x:xf>
    <x:xf numFmtId="0" fontId="2" fillId="13" borderId="23" xfId="0" applyNumberFormat="1" applyFont="1" applyFill="1" applyBorder="1" applyAlignment="1">
      <x:alignment wrapText="1"/>
    </x:xf>
    <x:xf numFmtId="0" fontId="2" fillId="13" borderId="24" xfId="0" applyNumberFormat="1" applyFont="1" applyFill="1" applyBorder="1" applyAlignment="1">
      <x:alignment wrapText="1"/>
    </x:xf>
    <x:xf numFmtId="0" fontId="2" fillId="13" borderId="25" xfId="0" applyNumberFormat="1" applyFont="1" applyFill="1" applyBorder="1" applyAlignment="1">
      <x:alignment wrapText="1"/>
    </x:xf>
    <x:xf numFmtId="0" fontId="2" fillId="13" borderId="18" xfId="0" applyNumberFormat="1" applyFont="1" applyFill="1" applyBorder="1" applyAlignment="1">
      <x:alignment horizontal="left" wrapText="1"/>
    </x:xf>
    <x:xf numFmtId="0" fontId="2" fillId="13" borderId="19" xfId="0" applyNumberFormat="1" applyFont="1" applyFill="1" applyBorder="1" applyAlignment="1">
      <x:alignment horizontal="left" wrapText="1"/>
    </x:xf>
    <x:xf numFmtId="0" fontId="2" fillId="13" borderId="20" xfId="0" applyNumberFormat="1" applyFont="1" applyFill="1" applyBorder="1" applyAlignment="1">
      <x:alignment horizontal="left" wrapText="1"/>
    </x:xf>
    <x:xf numFmtId="0" fontId="2" fillId="13" borderId="21" xfId="0" applyNumberFormat="1" applyFont="1" applyFill="1" applyBorder="1" applyAlignment="1">
      <x:alignment horizontal="left" wrapText="1"/>
    </x:xf>
    <x:xf numFmtId="0" fontId="2" fillId="13" xfId="0" applyNumberFormat="1" applyFont="1" applyFill="1" applyBorder="0" applyAlignment="1">
      <x:alignment horizontal="left" wrapText="1"/>
    </x:xf>
    <x:xf numFmtId="0" fontId="2" fillId="13" borderId="22" xfId="0" applyNumberFormat="1" applyFont="1" applyFill="1" applyBorder="1" applyAlignment="1">
      <x:alignment horizontal="left" wrapText="1"/>
    </x:xf>
    <x:xf numFmtId="0" fontId="2" fillId="13" borderId="23" xfId="0" applyNumberFormat="1" applyFont="1" applyFill="1" applyBorder="1" applyAlignment="1">
      <x:alignment horizontal="left" wrapText="1"/>
    </x:xf>
    <x:xf numFmtId="0" fontId="2" fillId="13" borderId="24" xfId="0" applyNumberFormat="1" applyFont="1" applyFill="1" applyBorder="1" applyAlignment="1">
      <x:alignment horizontal="left" wrapText="1"/>
    </x:xf>
    <x:xf numFmtId="0" fontId="2" fillId="13" borderId="25" xfId="0" applyNumberFormat="1" applyFont="1" applyFill="1" applyBorder="1" applyAlignment="1">
      <x:alignment horizontal="left" wrapText="1"/>
    </x:xf>
    <x:xf numFmtId="0" fontId="2" fillId="13" borderId="18" xfId="0" applyNumberFormat="1" applyFont="1" applyFill="1" applyBorder="1" applyAlignment="1">
      <x:alignment horizontal="left" vertical="center" wrapText="1"/>
    </x:xf>
    <x:xf numFmtId="0" fontId="2" fillId="13" borderId="19" xfId="0" applyNumberFormat="1" applyFont="1" applyFill="1" applyBorder="1" applyAlignment="1">
      <x:alignment horizontal="left" vertical="center" wrapText="1"/>
    </x:xf>
    <x:xf numFmtId="0" fontId="2" fillId="13" borderId="20" xfId="0" applyNumberFormat="1" applyFont="1" applyFill="1" applyBorder="1" applyAlignment="1">
      <x:alignment horizontal="left" vertical="center" wrapText="1"/>
    </x:xf>
    <x:xf numFmtId="0" fontId="2" fillId="13" borderId="21" xfId="0" applyNumberFormat="1" applyFont="1" applyFill="1" applyBorder="1" applyAlignment="1">
      <x:alignment horizontal="left" vertical="center" wrapText="1"/>
    </x:xf>
    <x:xf numFmtId="0" fontId="2" fillId="13" xfId="0" applyNumberFormat="1" applyFont="1" applyFill="1" applyBorder="0" applyAlignment="1">
      <x:alignment horizontal="left" vertical="center" wrapText="1"/>
    </x:xf>
    <x:xf numFmtId="0" fontId="2" fillId="13" borderId="22" xfId="0" applyNumberFormat="1" applyFont="1" applyFill="1" applyBorder="1" applyAlignment="1">
      <x:alignment horizontal="left" vertical="center" wrapText="1"/>
    </x:xf>
    <x:xf numFmtId="0" fontId="2" fillId="13" borderId="23" xfId="0" applyNumberFormat="1" applyFont="1" applyFill="1" applyBorder="1" applyAlignment="1">
      <x:alignment horizontal="left" vertical="center" wrapText="1"/>
    </x:xf>
    <x:xf numFmtId="0" fontId="2" fillId="13" borderId="24" xfId="0" applyNumberFormat="1" applyFont="1" applyFill="1" applyBorder="1" applyAlignment="1">
      <x:alignment horizontal="left" vertical="center" wrapText="1"/>
    </x:xf>
    <x:xf numFmtId="0" fontId="2" fillId="13" borderId="25" xfId="0" applyNumberFormat="1" applyFont="1" applyFill="1" applyBorder="1" applyAlignment="1">
      <x:alignment horizontal="left" vertical="center" wrapText="1"/>
    </x:xf>
    <x:xf numFmtId="0" fontId="5" fillId="15" borderId="0" xfId="0" applyNumberFormat="1" applyFont="1" applyFill="1" applyBorder="1"/>
    <x:xf numFmtId="0" fontId="5" fillId="15" borderId="41" xfId="0" applyNumberFormat="1" applyFont="1" applyFill="1" applyBorder="1"/>
    <x:xf numFmtId="0" fontId="5" fillId="15" borderId="42" xfId="0" applyNumberFormat="1" applyFont="1" applyFill="1" applyBorder="1"/>
    <x:xf numFmtId="0" fontId="5" fillId="15" borderId="43" xfId="0" applyNumberFormat="1" applyFont="1" applyFill="1" applyBorder="1"/>
    <x:xf numFmtId="0" fontId="5" fillId="15" borderId="44" xfId="0" applyNumberFormat="1" applyFont="1" applyFill="1" applyBorder="1"/>
    <x:xf numFmtId="0" fontId="5" fillId="15" borderId="45" xfId="0" applyNumberFormat="1" applyFont="1" applyFill="1" applyBorder="1"/>
    <x:xf numFmtId="0" fontId="5" fillId="15" borderId="46" xfId="0" applyNumberFormat="1" applyFont="1" applyFill="1" applyBorder="1"/>
    <x:xf numFmtId="0" fontId="5" fillId="15" borderId="41" xfId="0" applyNumberFormat="1" applyFont="1" applyFill="1" applyBorder="1" applyAlignment="1">
      <x:alignment wrapText="1"/>
    </x:xf>
    <x:xf numFmtId="0" fontId="5" fillId="15" borderId="42" xfId="0" applyNumberFormat="1" applyFont="1" applyFill="1" applyBorder="1" applyAlignment="1">
      <x:alignment wrapText="1"/>
    </x:xf>
    <x:xf numFmtId="0" fontId="5" fillId="15" borderId="43" xfId="0" applyNumberFormat="1" applyFont="1" applyFill="1" applyBorder="1" applyAlignment="1">
      <x:alignment wrapText="1"/>
    </x:xf>
    <x:xf numFmtId="0" fontId="5" fillId="15" borderId="44" xfId="0" applyNumberFormat="1" applyFont="1" applyFill="1" applyBorder="1" applyAlignment="1">
      <x:alignment wrapText="1"/>
    </x:xf>
    <x:xf numFmtId="0" fontId="5" fillId="15" borderId="45" xfId="0" applyNumberFormat="1" applyFont="1" applyFill="1" applyBorder="1" applyAlignment="1">
      <x:alignment wrapText="1"/>
    </x:xf>
    <x:xf numFmtId="0" fontId="5" fillId="15" borderId="46" xfId="0" applyNumberFormat="1" applyFont="1" applyFill="1" applyBorder="1" applyAlignment="1">
      <x:alignment wrapText="1"/>
    </x:xf>
    <x:xf numFmtId="0" fontId="5" fillId="15" borderId="41" xfId="0" applyNumberFormat="1" applyFont="1" applyFill="1" applyBorder="1" applyAlignment="1">
      <x:alignment horizontal="left" wrapText="1"/>
    </x:xf>
    <x:xf numFmtId="0" fontId="5" fillId="15" borderId="42" xfId="0" applyNumberFormat="1" applyFont="1" applyFill="1" applyBorder="1" applyAlignment="1">
      <x:alignment horizontal="left" wrapText="1"/>
    </x:xf>
    <x:xf numFmtId="0" fontId="5" fillId="15" borderId="43" xfId="0" applyNumberFormat="1" applyFont="1" applyFill="1" applyBorder="1" applyAlignment="1">
      <x:alignment horizontal="left" wrapText="1"/>
    </x:xf>
    <x:xf numFmtId="0" fontId="5" fillId="15" borderId="44" xfId="0" applyNumberFormat="1" applyFont="1" applyFill="1" applyBorder="1" applyAlignment="1">
      <x:alignment horizontal="left" wrapText="1"/>
    </x:xf>
    <x:xf numFmtId="0" fontId="5" fillId="15" borderId="45" xfId="0" applyNumberFormat="1" applyFont="1" applyFill="1" applyBorder="1" applyAlignment="1">
      <x:alignment horizontal="left" wrapText="1"/>
    </x:xf>
    <x:xf numFmtId="0" fontId="5" fillId="15" borderId="46" xfId="0" applyNumberFormat="1" applyFont="1" applyFill="1" applyBorder="1" applyAlignment="1">
      <x:alignment horizontal="left" wrapText="1"/>
    </x:xf>
    <x:xf numFmtId="0" fontId="5" fillId="15" borderId="41" xfId="0" applyNumberFormat="1" applyFont="1" applyFill="1" applyBorder="1" applyAlignment="1">
      <x:alignment horizontal="left" vertical="center" wrapText="1"/>
    </x:xf>
    <x:xf numFmtId="0" fontId="5" fillId="15" borderId="42" xfId="0" applyNumberFormat="1" applyFont="1" applyFill="1" applyBorder="1" applyAlignment="1">
      <x:alignment horizontal="left" vertical="center" wrapText="1"/>
    </x:xf>
    <x:xf numFmtId="0" fontId="5" fillId="15" borderId="43" xfId="0" applyNumberFormat="1" applyFont="1" applyFill="1" applyBorder="1" applyAlignment="1">
      <x:alignment horizontal="left" vertical="center" wrapText="1"/>
    </x:xf>
    <x:xf numFmtId="0" fontId="5" fillId="15" borderId="44" xfId="0" applyNumberFormat="1" applyFont="1" applyFill="1" applyBorder="1" applyAlignment="1">
      <x:alignment horizontal="left" vertical="center" wrapText="1"/>
    </x:xf>
    <x:xf numFmtId="0" fontId="5" fillId="15" borderId="45" xfId="0" applyNumberFormat="1" applyFont="1" applyFill="1" applyBorder="1" applyAlignment="1">
      <x:alignment horizontal="left" vertical="center" wrapText="1"/>
    </x:xf>
    <x:xf numFmtId="0" fontId="5" fillId="15" borderId="46" xfId="0" applyNumberFormat="1" applyFont="1" applyFill="1" applyBorder="1" applyAlignment="1">
      <x:alignment horizontal="left" vertical="center" wrapText="1"/>
    </x:xf>
    <x:xf numFmtId="0" fontId="2" fillId="5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4">
    <x:dxf>
      <x:font>
        <x:b/>
        <x:color rgb="FF9C0006"/>
      </x:font>
      <x:fill>
        <x:patternFill>
          <x:bgColor rgb="FFF4CCCC"/>
        </x:patternFill>
      </x:fill>
    </x:dxf>
    <x:dxf>
      <x:font>
        <x:b/>
      </x:font>
      <x:fill>
        <x:patternFill>
          <x:bgColor rgb="FFFCE5CD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DEFE3"/>
        </x:patternFill>
      </x:fill>
    </x:dxf>
    <x:dxf>
      <x:font>
        <x:b/>
      </x:font>
      <x:fill>
        <x:patternFill>
          <x:bgColor rgb="FFF4CCCC"/>
        </x:patternFill>
      </x:fill>
    </x:dxf>
    <x:dxf>
      <x:font>
        <x:b/>
      </x:font>
      <x:fill>
        <x:patternFill>
          <x:bgColor rgb="FFFFF2CC"/>
        </x:patternFill>
      </x:fill>
    </x:dxf>
    <x:dxf>
      <x:fill>
        <x:patternFill>
          <x:bgColor rgb="FFDDEFE3"/>
        </x:patternFill>
      </x:fill>
    </x:dxf>
    <x:dxf>
      <x:font>
        <x:color rgb="FF6B7785"/>
      </x:font>
      <x:fill>
        <x:patternFill>
          <x:bgColor rgb="FFE6EBEF"/>
        </x:patternFill>
      </x:fill>
    </x:dxf>
    <x:dxf>
      <x:font>
        <x:b/>
        <x:color rgb="FFA93226"/>
      </x:font>
      <x:fill>
        <x:patternFill>
          <x:bgColor rgb="FFFADBD8"/>
        </x:patternFill>
      </x:fill>
    </x:dxf>
    <x:dxf>
      <x:font>
        <x:b/>
        <x:color rgb="FFC65911"/>
      </x:font>
      <x:fill>
        <x:patternFill>
          <x:bgColor rgb="FFFCE4D6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color rgb="FF1F4E78"/>
      </x:font>
      <x:fill>
        <x:patternFill>
          <x:bgColor rgb="FFDDEBF7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A93226"/>
      </x:font>
      <x:fill>
        <x:patternFill>
          <x:bgColor rgb="FFFADB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86d4f7962d14931" /><Relationship Type="http://schemas.openxmlformats.org/officeDocument/2006/relationships/theme" Target="/xl/theme/theme1.xml" Id="R6fad8a41a597430a" /><Relationship Type="http://schemas.openxmlformats.org/officeDocument/2006/relationships/sharedStrings" Target="/xl/sharedStrings.xml" Id="R95f24b9c4b934d17" /><Relationship Type="http://schemas.openxmlformats.org/officeDocument/2006/relationships/worksheet" Target="/xl/worksheets/sheet1.xml" Id="R224d2a09f1e547b4" /><Relationship Type="http://schemas.openxmlformats.org/officeDocument/2006/relationships/worksheet" Target="/xl/worksheets/sheet2.xml" Id="Rb114c0ce3f79463b" /><Relationship Type="http://schemas.openxmlformats.org/officeDocument/2006/relationships/worksheet" Target="/xl/worksheets/sheet3.xml" Id="R8f1f747ab50245bf" /><Relationship Type="http://schemas.openxmlformats.org/officeDocument/2006/relationships/worksheet" Target="/xl/worksheets/sheet4.xml" Id="Rddc9d5124a3c45c4" /><Relationship Type="http://schemas.openxmlformats.org/officeDocument/2006/relationships/worksheet" Target="/xl/worksheets/sheet5.xml" Id="R066299458b0d4c3c" /><Relationship Type="http://schemas.openxmlformats.org/officeDocument/2006/relationships/worksheet" Target="/xl/worksheets/sheet6.xml" Id="R96f74acd3bfb44d4" /><Relationship Type="http://schemas.openxmlformats.org/officeDocument/2006/relationships/worksheet" Target="/xl/worksheets/sheet7.xml" Id="Ref3ec895a99e4aab" /><Relationship Type="http://schemas.openxmlformats.org/officeDocument/2006/relationships/worksheet" Target="/xl/worksheets/sheet8.xml" Id="Rc0a8947324564c6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8278bfadf66647ec" /><Relationship Type="http://schemas.openxmlformats.org/officeDocument/2006/relationships/chart" Target="/xl/drawings/charts/chart2.xml" Id="R8485363935974e6e" /><Relationship Type="http://schemas.openxmlformats.org/officeDocument/2006/relationships/chart" Target="/xl/drawings/charts/chart3.xml" Id="R3d4ff0d17f624e2d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/>
              <a:t>Tickets by Status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/>
          </a:pPr>
        </a:p>
      </c:txPr>
    </c:title>
    <c:plotArea>
      <c:barChart>
        <c:barDir val="col"/>
        <c:varyColors val="0"/>
        <c:ser>
          <c:idx val="0"/>
          <c:order val="0"/>
          <c:tx>
            <c:v>Tickets</c:v>
          </c:tx>
          <c:spPr>
            <a:solidFill xmlns:a="http://schemas.openxmlformats.org/drawingml/2006/main">
              <a:srgbClr val="1F6E8C"/>
            </a:solidFill>
          </c:spPr>
          <c:cat>
            <c:strRef>
              <c:f>'Reports'!$A$4:$A$7</c:f>
              <c:strCache>
                <c:ptCount val="0"/>
              </c:strCache>
            </c:strRef>
          </c:cat>
          <c:val>
            <c:numRef>
              <c:f>'Reports'!$B$4:$B$7</c:f>
              <c:numCache>
                <c:formatCode>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/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/>
              <a:t>Tickets by Priority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/>
          </a:pPr>
        </a:p>
      </c:txPr>
    </c:title>
    <c:plotArea>
      <c:barChart>
        <c:barDir val="col"/>
        <c:varyColors val="0"/>
        <c:ser>
          <c:idx val="0"/>
          <c:order val="0"/>
          <c:tx>
            <c:v>Tickets</c:v>
          </c:tx>
          <c:spPr>
            <a:solidFill xmlns:a="http://schemas.openxmlformats.org/drawingml/2006/main">
              <a:srgbClr val="C55A11"/>
            </a:solidFill>
          </c:spPr>
          <c:cat>
            <c:strRef>
              <c:f>'Reports'!$D$4:$D$7</c:f>
              <c:strCache>
                <c:ptCount val="0"/>
              </c:strCache>
            </c:strRef>
          </c:cat>
          <c:val>
            <c:numRef>
              <c:f>'Reports'!$E$4:$E$7</c:f>
              <c:numCache>
                <c:formatCode>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/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/>
              <a:t>Monthly Ticket Volume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/>
          </a:pPr>
        </a:p>
      </c:txPr>
    </c:title>
    <c:plotArea>
      <c:lineChart>
        <c:grouping val="standard"/>
        <c:varyColors val="0"/>
        <c:ser>
          <c:idx val="0"/>
          <c:order val="0"/>
          <c:tx>
            <c:v>Tickets</c:v>
          </c:tx>
          <c:spPr>
            <a:solidFill xmlns:a="http://schemas.openxmlformats.org/drawingml/2006/main">
              <a:srgbClr val="2F75B5"/>
            </a:solidFill>
          </c:spPr>
          <c:marker>
            <c:symbol val="none"/>
          </c:marker>
          <c:cat>
            <c:strRef>
              <c:f>'Reports'!$D$13:$D$16</c:f>
              <c:strCache>
                <c:ptCount val="0"/>
              </c:strCache>
            </c:strRef>
          </c:cat>
          <c:val>
            <c:numRef>
              <c:f>'Reports'!$E$13:$E$16</c:f>
              <c:numCache>
                <c:formatCode>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/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14</xdr:row>
      <xdr:rowOff>0</xdr:rowOff>
    </xdr:from>
    <xdr:to>
      <xdr:col>7</xdr:col>
      <xdr:colOff>0</xdr:colOff>
      <xdr:row>29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278bfadf66647ec"/>
        </a:graphicData>
      </a:graphic>
    </xdr:graphicFrame>
    <xdr:clientData/>
  </xdr:twoCellAnchor>
  <xdr:twoCellAnchor>
    <xdr:from>
      <xdr:col>7</xdr:col>
      <xdr:colOff>0</xdr:colOff>
      <xdr:row>14</xdr:row>
      <xdr:rowOff>0</xdr:rowOff>
    </xdr:from>
    <xdr:to>
      <xdr:col>14</xdr:col>
      <xdr:colOff>0</xdr:colOff>
      <xdr:row>29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485363935974e6e"/>
        </a:graphicData>
      </a:graphic>
    </xdr:graphicFrame>
    <xdr:clientData/>
  </xdr:twoCellAnchor>
  <xdr:twoCellAnchor>
    <xdr:from>
      <xdr:col>0</xdr:col>
      <xdr:colOff>0</xdr:colOff>
      <xdr:row>30</xdr:row>
      <xdr:rowOff>0</xdr:rowOff>
    </xdr:from>
    <xdr:to>
      <xdr:col>14</xdr:col>
      <xdr:colOff>0</xdr:colOff>
      <xdr:row>46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d4ff0d17f624e2d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5" name="TicketLogTable" displayName="TicketLogTable" ref="A2:P102" headerRowCount="1" totalsRowCount="0" totalsRowShown="0">
  <x:tableColumns count="16">
    <x:tableColumn id="1" name="Ticket ID"/>
    <x:tableColumn id="2" name="Date Opened"/>
    <x:tableColumn id="3" name="Requester"/>
    <x:tableColumn id="4" name="Department"/>
    <x:tableColumn id="5" name="Issue Type"/>
    <x:tableColumn id="6" name="Issue Summary"/>
    <x:tableColumn id="7" name="Priority"/>
    <x:tableColumn id="8" name="Status"/>
    <x:tableColumn id="9" name="Assigned Technician"/>
    <x:tableColumn id="10" name="Troubleshooting Notes"/>
    <x:tableColumn id="11" name="Resolution"/>
    <x:tableColumn id="12" name="Date Closed"/>
    <x:tableColumn id="13" name="Days Open"/>
    <x:tableColumn id="14" name="First Response (Hours)"/>
    <x:tableColumn id="15" name="Response SLA (Hours)"/>
    <x:tableColumn id="16" name="SLA Resul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4" name="UserDirectoryTable" displayName="UserDirectoryTable" ref="A2:F32" headerRowCount="1" totalsRowCount="0" totalsRowShown="0">
  <x:tableColumns count="6">
    <x:tableColumn id="1" name="User ID"/>
    <x:tableColumn id="2" name="Name"/>
    <x:tableColumn id="3" name="Department"/>
    <x:tableColumn id="4" name="Device"/>
    <x:tableColumn id="5" name="Asset Tag"/>
    <x:tableColumn id="6" name="Primary Locatio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6" name="KnowledgeBaseTable" displayName="KnowledgeBaseTable" ref="A2:F17" headerRowCount="1" totalsRowCount="0" totalsRowShown="0">
  <x:tableColumns count="6">
    <x:tableColumn id="1" name="Article ID"/>
    <x:tableColumn id="2" name="Issue"/>
    <x:tableColumn id="3" name="Symptoms"/>
    <x:tableColumn id="4" name="Troubleshooting Steps"/>
    <x:tableColumn id="5" name="Resolution Check"/>
    <x:tableColumn id="6" name="Categor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501b858f5244f7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44fb3a5c65e4455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1020eb32f0c1464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3b5204f89156440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20" hidden="0" customWidth="1"/>
    <x:col min="9" max="9" width="58" hidden="0" customWidth="1"/>
  </x:cols>
  <x:sheetData>
    <x:row r="1">
      <x:c r="A1" s="137" t="str">
        <x:v>Priority</x:v>
      </x:c>
      <x:c r="B1" s="138" t="str">
        <x:v>Status</x:v>
      </x:c>
      <x:c r="C1" s="138" t="str">
        <x:v>Issue Type</x:v>
      </x:c>
      <x:c r="D1" s="138" t="str">
        <x:v>Department</x:v>
      </x:c>
      <x:c r="E1" s="138" t="str">
        <x:v>Technician</x:v>
      </x:c>
      <x:c r="F1" s="138" t="str">
        <x:v>SLA Priority</x:v>
      </x:c>
      <x:c r="G1" s="139" t="str">
        <x:v>Response SLA (Hours)</x:v>
      </x:c>
      <x:c r="H1" s="318" t="str">
        <x:v>Issue Type</x:v>
      </x:c>
      <x:c r="I1" s="319" t="str">
        <x:v>Resolution Verification</x:v>
      </x:c>
    </x:row>
    <x:row r="2" ht="34" customHeight="1">
      <x:c r="A2" s="140" t="str">
        <x:v>Low</x:v>
      </x:c>
      <x:c r="B2" s="141" t="str">
        <x:v>Open</x:v>
      </x:c>
      <x:c r="C2" s="141" t="str">
        <x:v>Hardware</x:v>
      </x:c>
      <x:c r="D2" s="141" t="str">
        <x:v>Front Desk</x:v>
      </x:c>
      <x:c r="E2" s="141" t="str">
        <x:v>Andres Camacho</x:v>
      </x:c>
      <x:c r="F2" s="141" t="str">
        <x:v>Low</x:v>
      </x:c>
      <x:c r="G2" s="146" t="n">
        <x:v>24</x:v>
      </x:c>
      <x:c r="H2" s="320" t="str">
        <x:v>Hardware</x:v>
      </x:c>
      <x:c r="I2" s="321" t="str">
        <x:v>Restart the device twice and confirm normal performance with the requester.</x:v>
      </x:c>
    </x:row>
    <x:row r="3" ht="34" customHeight="1">
      <x:c r="A3" s="140" t="str">
        <x:v>Medium</x:v>
      </x:c>
      <x:c r="B3" s="141" t="str">
        <x:v>In Progress</x:v>
      </x:c>
      <x:c r="C3" s="141" t="str">
        <x:v>Software</x:v>
      </x:c>
      <x:c r="D3" s="141" t="str">
        <x:v>Housekeeping</x:v>
      </x:c>
      <x:c r="E3" s="141" t="str">
        <x:v>Jordan Lee</x:v>
      </x:c>
      <x:c r="F3" s="141" t="str">
        <x:v>Medium</x:v>
      </x:c>
      <x:c r="G3" s="146" t="n">
        <x:v>8</x:v>
      </x:c>
      <x:c r="H3" s="320" t="str">
        <x:v>Software</x:v>
      </x:c>
      <x:c r="I3" s="321" t="str">
        <x:v>Open, use, save, and close the affected application without errors.</x:v>
      </x:c>
    </x:row>
    <x:row r="4" ht="34" customHeight="1">
      <x:c r="A4" s="140" t="str">
        <x:v>High</x:v>
      </x:c>
      <x:c r="B4" s="141" t="str">
        <x:v>Resolved</x:v>
      </x:c>
      <x:c r="C4" s="141" t="str">
        <x:v>Network</x:v>
      </x:c>
      <x:c r="D4" s="141" t="str">
        <x:v>Management</x:v>
      </x:c>
      <x:c r="E4" s="141" t="str">
        <x:v>Priya Shah</x:v>
      </x:c>
      <x:c r="F4" s="141" t="str">
        <x:v>High</x:v>
      </x:c>
      <x:c r="G4" s="146" t="n">
        <x:v>4</x:v>
      </x:c>
      <x:c r="H4" s="320" t="str">
        <x:v>Network</x:v>
      </x:c>
      <x:c r="I4" s="321" t="str">
        <x:v>Open two approved websites and one internal resource to confirm stable connectivity.</x:v>
      </x:c>
    </x:row>
    <x:row r="5" ht="34" customHeight="1">
      <x:c r="A5" s="140" t="str">
        <x:v>Critical</x:v>
      </x:c>
      <x:c r="B5" s="141" t="str">
        <x:v>Closed</x:v>
      </x:c>
      <x:c r="C5" s="141" t="str">
        <x:v>Account Access</x:v>
      </x:c>
      <x:c r="D5" s="141" t="str">
        <x:v>Maintenance</x:v>
      </x:c>
      <x:c r="E5" s="141" t="str">
        <x:v>Marcus Brown</x:v>
      </x:c>
      <x:c r="F5" s="141" t="str">
        <x:v>Critical</x:v>
      </x:c>
      <x:c r="G5" s="146" t="n">
        <x:v>1</x:v>
      </x:c>
      <x:c r="H5" s="320" t="str">
        <x:v>Account Access</x:v>
      </x:c>
      <x:c r="I5" s="321" t="str">
        <x:v>Have the user sign in successfully and complete any required password change.</x:v>
      </x:c>
    </x:row>
    <x:row r="6" ht="34" customHeight="1">
      <x:c r="A6" s="140"/>
      <x:c r="B6" s="141"/>
      <x:c r="C6" s="141" t="str">
        <x:v>Printer</x:v>
      </x:c>
      <x:c r="D6" s="141" t="str">
        <x:v>Sales</x:v>
      </x:c>
      <x:c r="E6" s="141" t="str">
        <x:v>Unassigned</x:v>
      </x:c>
      <x:c r="F6" s="141"/>
      <x:c r="G6" s="142"/>
      <x:c r="H6" s="320" t="str">
        <x:v>Printer</x:v>
      </x:c>
      <x:c r="I6" s="321" t="str">
        <x:v>Print a test page and confirm the print queue clears.</x:v>
      </x:c>
    </x:row>
    <x:row r="7" ht="34" customHeight="1">
      <x:c r="A7" s="140"/>
      <x:c r="B7" s="141"/>
      <x:c r="C7" s="141" t="str">
        <x:v>Security</x:v>
      </x:c>
      <x:c r="D7" s="141" t="str">
        <x:v>Guest Services</x:v>
      </x:c>
      <x:c r="E7" s="141"/>
      <x:c r="F7" s="141"/>
      <x:c r="G7" s="142"/>
      <x:c r="H7" s="320" t="str">
        <x:v>Security</x:v>
      </x:c>
      <x:c r="I7" s="321" t="str">
        <x:v>Confirm the threat was reported, contained, and the account remains secure.</x:v>
      </x:c>
    </x:row>
    <x:row r="8" ht="34" customHeight="1">
      <x:c r="A8" s="140"/>
      <x:c r="B8" s="141"/>
      <x:c r="C8" s="141" t="str">
        <x:v>Email</x:v>
      </x:c>
      <x:c r="D8" s="141" t="str">
        <x:v>Finance</x:v>
      </x:c>
      <x:c r="E8" s="141"/>
      <x:c r="F8" s="141"/>
      <x:c r="G8" s="142"/>
      <x:c r="H8" s="320" t="str">
        <x:v>Email</x:v>
      </x:c>
      <x:c r="I8" s="321" t="str">
        <x:v>Send and receive a test message and confirm mailbox synchronization.</x:v>
      </x:c>
    </x:row>
    <x:row r="9" ht="34" customHeight="1">
      <x:c r="A9" s="140"/>
      <x:c r="B9" s="141"/>
      <x:c r="C9" s="141" t="str">
        <x:v>VPN</x:v>
      </x:c>
      <x:c r="D9" s="141" t="str">
        <x:v>Human Resources</x:v>
      </x:c>
      <x:c r="E9" s="141"/>
      <x:c r="F9" s="141"/>
      <x:c r="G9" s="142"/>
      <x:c r="H9" s="320" t="str">
        <x:v>VPN</x:v>
      </x:c>
      <x:c r="I9" s="321" t="str">
        <x:v>Connect to the VPN and open an approved internal resource.</x:v>
      </x:c>
    </x:row>
    <x:row r="10" ht="34" customHeight="1">
      <x:c r="A10" s="140"/>
      <x:c r="B10" s="141"/>
      <x:c r="C10" s="141" t="str">
        <x:v>Audio/Visual</x:v>
      </x:c>
      <x:c r="D10" s="141" t="str">
        <x:v>Food &amp; Beverage</x:v>
      </x:c>
      <x:c r="E10" s="141"/>
      <x:c r="F10" s="141"/>
      <x:c r="G10" s="142"/>
      <x:c r="H10" s="320" t="str">
        <x:v>Audio/Visual</x:v>
      </x:c>
      <x:c r="I10" s="321" t="str">
        <x:v>Complete a test call with working video, microphone, and speakers.</x:v>
      </x:c>
    </x:row>
    <x:row r="11" ht="34" customHeight="1">
      <x:c r="A11" s="140"/>
      <x:c r="B11" s="141"/>
      <x:c r="C11" s="141" t="str">
        <x:v>Mobile Device</x:v>
      </x:c>
      <x:c r="D11" s="141" t="str">
        <x:v>Events</x:v>
      </x:c>
      <x:c r="E11" s="141"/>
      <x:c r="F11" s="141"/>
      <x:c r="G11" s="142"/>
      <x:c r="H11" s="322" t="str">
        <x:v>Mobile Device</x:v>
      </x:c>
      <x:c r="I11" s="323" t="str">
        <x:v>Complete a test MFA approval and verify notifications arrive.</x:v>
      </x:c>
    </x:row>
    <x:row r="12">
      <x:c r="A12" s="140"/>
      <x:c r="B12" s="141"/>
      <x:c r="C12" s="141"/>
      <x:c r="D12" s="141" t="str">
        <x:v>Security</x:v>
      </x:c>
      <x:c r="E12" s="141"/>
      <x:c r="F12" s="141"/>
      <x:c r="G12" s="142"/>
    </x:row>
    <x:row r="13">
      <x:c r="A13" s="140"/>
      <x:c r="B13" s="141"/>
      <x:c r="C13" s="141"/>
      <x:c r="D13" s="141" t="str">
        <x:v>IT Operations</x:v>
      </x:c>
      <x:c r="E13" s="141"/>
      <x:c r="F13" s="141"/>
      <x:c r="G13" s="142"/>
    </x:row>
    <x:row r="14">
      <x:c r="A14" s="143"/>
      <x:c r="B14" s="144"/>
      <x:c r="C14" s="144"/>
      <x:c r="D14" s="144" t="str">
        <x:v>Reservations</x:v>
      </x:c>
      <x:c r="E14" s="144"/>
      <x:c r="F14" s="144"/>
      <x:c r="G14" s="145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9" hidden="0" customWidth="1"/>
    <x:col min="4" max="4" width="19" hidden="0" customWidth="1"/>
    <x:col min="5" max="5" width="17" hidden="0" customWidth="1"/>
    <x:col min="6" max="6" width="38" hidden="0" customWidth="1"/>
    <x:col min="7" max="7" width="10" hidden="0" customWidth="1"/>
    <x:col min="8" max="8" width="13" hidden="0" customWidth="1"/>
    <x:col min="9" max="9" width="19" hidden="0" customWidth="1"/>
    <x:col min="10" max="10" width="48" hidden="0" customWidth="1"/>
    <x:col min="11" max="11" width="42" hidden="0" customWidth="1"/>
    <x:col min="12" max="12" width="12" hidden="0" customWidth="1"/>
    <x:col min="13" max="13" width="10" hidden="0" customWidth="1"/>
    <x:col min="14" max="14" width="21" hidden="0" customWidth="1"/>
    <x:col min="15" max="15" width="21" hidden="0" customWidth="1"/>
    <x:col min="16" max="16" width="14" hidden="0" customWidth="1"/>
  </x:cols>
  <x:sheetData>
    <x:row r="1" ht="32" customHeight="1">
      <x:c r="A1" s="148" t="str">
        <x:v>HELP DESK TICKET LOG — 100 SIMULATED INCIDENTS</x:v>
      </x:c>
      <x:c r="B1" s="148"/>
      <x:c r="C1" s="148"/>
      <x:c r="D1" s="148"/>
      <x:c r="E1" s="148"/>
      <x:c r="F1" s="148"/>
      <x:c r="G1" s="148"/>
      <x:c r="H1" s="148"/>
      <x:c r="I1" s="148"/>
      <x:c r="J1" s="148"/>
      <x:c r="K1" s="148"/>
      <x:c r="L1" s="148"/>
      <x:c r="M1" s="148"/>
      <x:c r="N1" s="148"/>
      <x:c r="O1" s="148"/>
      <x:c r="P1" s="148"/>
    </x:row>
    <x:row r="2" ht="42" customHeight="1">
      <x:c r="A2" s="153" t="str">
        <x:v>Ticket ID</x:v>
      </x:c>
      <x:c r="B2" s="153" t="str">
        <x:v>Date Opened</x:v>
      </x:c>
      <x:c r="C2" s="153" t="str">
        <x:v>Requester</x:v>
      </x:c>
      <x:c r="D2" s="153" t="str">
        <x:v>Department</x:v>
      </x:c>
      <x:c r="E2" s="153" t="str">
        <x:v>Issue Type</x:v>
      </x:c>
      <x:c r="F2" s="153" t="str">
        <x:v>Issue Summary</x:v>
      </x:c>
      <x:c r="G2" s="290" t="str">
        <x:v>Priority ▼</x:v>
      </x:c>
      <x:c r="H2" s="290" t="str">
        <x:v>Status ▼</x:v>
      </x:c>
      <x:c r="I2" s="290" t="str">
        <x:v>Assigned Technician ▼</x:v>
      </x:c>
      <x:c r="J2" s="153" t="str">
        <x:v>Troubleshooting Steps Taken</x:v>
      </x:c>
      <x:c r="K2" s="153" t="str">
        <x:v>How the Issue Was Solved</x:v>
      </x:c>
      <x:c r="L2" s="153" t="str">
        <x:v>Date Closed</x:v>
      </x:c>
      <x:c r="M2" s="153" t="str">
        <x:v>Days Open</x:v>
      </x:c>
      <x:c r="N2" s="153" t="str">
        <x:v>First Response (Hours)</x:v>
      </x:c>
      <x:c r="O2" s="153" t="str">
        <x:v>Response SLA (Hours)</x:v>
      </x:c>
      <x:c r="P2" s="153" t="str">
        <x:v>SLA Result</x:v>
      </x:c>
    </x:row>
    <x:row r="3" ht="42" customHeight="1">
      <x:c r="A3" s="153" t="str">
        <x:v>INC-1001</x:v>
      </x:c>
      <x:c r="B3" s="154" t="n">
        <x:v>46145</x:v>
      </x:c>
      <x:c r="C3" s="157" t="str">
        <x:v>Maria Lopez</x:v>
      </x:c>
      <x:c r="D3" s="157" t="str">
        <x:v>Front Desk</x:v>
      </x:c>
      <x:c r="E3" s="157" t="str">
        <x:v>Network</x:v>
      </x:c>
      <x:c r="F3" s="157" t="str">
        <x:v>CORP-LT-201 cannot connect to the secure staff Wi-Fi in Main Lobby.</x:v>
      </x:c>
      <x:c r="G3" s="300" t="str">
        <x:v>High</x:v>
      </x:c>
      <x:c r="H3" s="301" t="str">
        <x:v>Closed</x:v>
      </x:c>
      <x:c r="I3" s="302" t="str">
        <x:v>Andres Camacho</x:v>
      </x:c>
      <x:c r="J3" s="157" t="str">
        <x:v>Confirmed the outage was limited to one device, verified airplane mode was off, renewed the IP configuration, forgot the saved network, and reconnected with approved credentials.</x:v>
      </x:c>
      <x:c r="K3" s="157" t="str">
        <x:v>Network access was restored and two internal resources loaded successfully.</x:v>
      </x:c>
      <x:c r="L3" s="158" t="n">
        <x:v>46146</x:v>
      </x:c>
      <x:c r="M3" s="159" t="n">
        <x:f>IF(B3="","",IF(L3="",TODAY()-B3,L3-B3))</x:f>
        <x:v>1</x:v>
      </x:c>
      <x:c r="N3" s="160" t="n">
        <x:v>4.5</x:v>
      </x:c>
      <x:c r="O3" s="160" t="n">
        <x:f>IFERROR(VLOOKUP(G3,'Lists'!$F$2:$G$5,2,FALSE),"")</x:f>
        <x:v>4</x:v>
      </x:c>
      <x:c r="P3" s="157" t="str">
        <x:f>IF(N3="","",IF(N3&lt;=O3,"Met","Missed"))</x:f>
        <x:v>Missed</x:v>
      </x:c>
    </x:row>
    <x:row r="4" ht="42" customHeight="1">
      <x:c r="A4" s="153" t="str">
        <x:v>INC-1002</x:v>
      </x:c>
      <x:c r="B4" s="154" t="n">
        <x:v>46146</x:v>
      </x:c>
      <x:c r="C4" s="157" t="str">
        <x:v>Noah Thompson</x:v>
      </x:c>
      <x:c r="D4" s="157" t="str">
        <x:v>Human Resources</x:v>
      </x:c>
      <x:c r="E4" s="157" t="str">
        <x:v>Account Access</x:v>
      </x:c>
      <x:c r="F4" s="157" t="str">
        <x:v>Noah Thompson is locked out after repeated sign-in attempts.</x:v>
      </x:c>
      <x:c r="G4" s="303" t="str">
        <x:v>Medium</x:v>
      </x:c>
      <x:c r="H4" s="304" t="str">
        <x:v>Closed</x:v>
      </x:c>
      <x:c r="I4" s="305" t="str">
        <x:v>Jordan Lee</x:v>
      </x:c>
      <x:c r="J4" s="157" t="str">
        <x:v>Verified the requester's identity, reviewed the lockout message, checked account status, and followed the password-reset procedure.</x:v>
      </x:c>
      <x:c r="K4" s="157" t="str">
        <x:v>Account unlocked, temporary password issued, and successful sign-in confirmed.</x:v>
      </x:c>
      <x:c r="L4" s="158" t="n">
        <x:v>46148</x:v>
      </x:c>
      <x:c r="M4" s="159" t="n">
        <x:f>IF(B4="","",IF(L4="",TODAY()-B4,L4-B4))</x:f>
        <x:v>2</x:v>
      </x:c>
      <x:c r="N4" s="160" t="n">
        <x:v>2.6</x:v>
      </x:c>
      <x:c r="O4" s="160" t="n">
        <x:f>IFERROR(VLOOKUP(G4,'Lists'!$F$2:$G$5,2,FALSE),"")</x:f>
        <x:v>8</x:v>
      </x:c>
      <x:c r="P4" s="157" t="str">
        <x:f>IF(N4="","",IF(N4&lt;=O4,"Met","Missed"))</x:f>
        <x:v>Met</x:v>
      </x:c>
    </x:row>
    <x:row r="5" ht="42" customHeight="1">
      <x:c r="A5" s="153" t="str">
        <x:v>INC-1003</x:v>
      </x:c>
      <x:c r="B5" s="154" t="n">
        <x:v>46147</x:v>
      </x:c>
      <x:c r="C5" s="157" t="str">
        <x:v>Mia Hall</x:v>
      </x:c>
      <x:c r="D5" s="157" t="str">
        <x:v>Housekeeping</x:v>
      </x:c>
      <x:c r="E5" s="157" t="str">
        <x:v>Software</x:v>
      </x:c>
      <x:c r="F5" s="157" t="str">
        <x:v>Microsoft Excel freezes on CORP-LT-215 when opening an operations report.</x:v>
      </x:c>
      <x:c r="G5" s="303" t="str">
        <x:v>Medium</x:v>
      </x:c>
      <x:c r="H5" s="304" t="str">
        <x:v>Closed</x:v>
      </x:c>
      <x:c r="I5" s="305" t="str">
        <x:v>Priya Shah</x:v>
      </x:c>
      <x:c r="J5" s="157" t="str">
        <x:v>Tested another workbook, checked available storage, ended the stuck process, installed pending updates, and ran an Office quick repair.</x:v>
      </x:c>
      <x:c r="K5" s="157" t="str">
        <x:v>The report opened normally after repair and a restart.</x:v>
      </x:c>
      <x:c r="L5" s="158" t="n">
        <x:v>46149</x:v>
      </x:c>
      <x:c r="M5" s="159" t="n">
        <x:f>IF(B5="","",IF(L5="",TODAY()-B5,L5-B5))</x:f>
        <x:v>2</x:v>
      </x:c>
      <x:c r="N5" s="160" t="n">
        <x:v>3.5</x:v>
      </x:c>
      <x:c r="O5" s="160" t="n">
        <x:f>IFERROR(VLOOKUP(G5,'Lists'!$F$2:$G$5,2,FALSE),"")</x:f>
        <x:v>8</x:v>
      </x:c>
      <x:c r="P5" s="157" t="str">
        <x:f>IF(N5="","",IF(N5&lt;=O5,"Met","Missed"))</x:f>
        <x:v>Met</x:v>
      </x:c>
    </x:row>
    <x:row r="6" ht="42" customHeight="1">
      <x:c r="A6" s="153" t="str">
        <x:v>INC-1004</x:v>
      </x:c>
      <x:c r="B6" s="154" t="n">
        <x:v>46148</x:v>
      </x:c>
      <x:c r="C6" s="157" t="str">
        <x:v>Mateo Green</x:v>
      </x:c>
      <x:c r="D6" s="157" t="str">
        <x:v>Food &amp; Beverage</x:v>
      </x:c>
      <x:c r="E6" s="157" t="str">
        <x:v>Printer</x:v>
      </x:c>
      <x:c r="F6" s="157" t="str">
        <x:v>Shared printer for Food &amp; Beverage shows offline and jobs remain queued.</x:v>
      </x:c>
      <x:c r="G6" s="303" t="str">
        <x:v>Low</x:v>
      </x:c>
      <x:c r="H6" s="304" t="str">
        <x:v>Closed</x:v>
      </x:c>
      <x:c r="I6" s="305" t="str">
        <x:v>Marcus Brown</x:v>
      </x:c>
      <x:c r="J6" s="157" t="str">
        <x:v>Checked power, paper, network connectivity, and the print queue; restarted the Print Spooler service and re-added the printer by IP address.</x:v>
      </x:c>
      <x:c r="K6" s="157" t="str">
        <x:v>Queue cleared and a test page printed successfully.</x:v>
      </x:c>
      <x:c r="L6" s="158" t="n">
        <x:v>46151</x:v>
      </x:c>
      <x:c r="M6" s="159" t="n">
        <x:f>IF(B6="","",IF(L6="",TODAY()-B6,L6-B6))</x:f>
        <x:v>3</x:v>
      </x:c>
      <x:c r="N6" s="160" t="n">
        <x:v>13.4</x:v>
      </x:c>
      <x:c r="O6" s="160" t="n">
        <x:f>IFERROR(VLOOKUP(G6,'Lists'!$F$2:$G$5,2,FALSE),"")</x:f>
        <x:v>24</x:v>
      </x:c>
      <x:c r="P6" s="157" t="str">
        <x:f>IF(N6="","",IF(N6&lt;=O6,"Met","Missed"))</x:f>
        <x:v>Met</x:v>
      </x:c>
    </x:row>
    <x:row r="7" ht="42" customHeight="1">
      <x:c r="A7" s="153" t="str">
        <x:v>INC-1005</x:v>
      </x:c>
      <x:c r="B7" s="154" t="n">
        <x:v>46149</x:v>
      </x:c>
      <x:c r="C7" s="157" t="str">
        <x:v>Aria Roberts</x:v>
      </x:c>
      <x:c r="D7" s="157" t="str">
        <x:v>Management</x:v>
      </x:c>
      <x:c r="E7" s="157" t="str">
        <x:v>Hardware</x:v>
      </x:c>
      <x:c r="F7" s="157" t="str">
        <x:v>CORP-LT-229 is slow after startup and applications take several minutes to open.</x:v>
      </x:c>
      <x:c r="G7" s="303" t="str">
        <x:v>Medium</x:v>
      </x:c>
      <x:c r="H7" s="304" t="str">
        <x:v>Closed</x:v>
      </x:c>
      <x:c r="I7" s="305" t="str">
        <x:v>Andres Camacho</x:v>
      </x:c>
      <x:c r="J7" s="157" t="str">
        <x:v>Reviewed startup applications, checked free disk space and Task Manager utilization, installed updates, and completed an approved malware scan.</x:v>
      </x:c>
      <x:c r="K7" s="157" t="str">
        <x:v>Startup performance improved and normal application response was verified.</x:v>
      </x:c>
      <x:c r="L7" s="158" t="n">
        <x:v>46151</x:v>
      </x:c>
      <x:c r="M7" s="159" t="n">
        <x:f>IF(B7="","",IF(L7="",TODAY()-B7,L7-B7))</x:f>
        <x:v>2</x:v>
      </x:c>
      <x:c r="N7" s="160" t="n">
        <x:v>5.4</x:v>
      </x:c>
      <x:c r="O7" s="160" t="n">
        <x:f>IFERROR(VLOOKUP(G7,'Lists'!$F$2:$G$5,2,FALSE),"")</x:f>
        <x:v>8</x:v>
      </x:c>
      <x:c r="P7" s="157" t="str">
        <x:f>IF(N7="","",IF(N7&lt;=O7,"Met","Missed"))</x:f>
        <x:v>Met</x:v>
      </x:c>
    </x:row>
    <x:row r="8" ht="42" customHeight="1">
      <x:c r="A8" s="153" t="str">
        <x:v>INC-1006</x:v>
      </x:c>
      <x:c r="B8" s="154" t="n">
        <x:v>46150</x:v>
      </x:c>
      <x:c r="C8" s="157" t="str">
        <x:v>David Kim</x:v>
      </x:c>
      <x:c r="D8" s="157" t="str">
        <x:v>Guest Services</x:v>
      </x:c>
      <x:c r="E8" s="157" t="str">
        <x:v>Security</x:v>
      </x:c>
      <x:c r="F8" s="157" t="str">
        <x:v>David Kim reported a suspicious email requesting password verification.</x:v>
      </x:c>
      <x:c r="G8" s="303" t="str">
        <x:v>Critical</x:v>
      </x:c>
      <x:c r="H8" s="304" t="str">
        <x:v>Closed</x:v>
      </x:c>
      <x:c r="I8" s="305" t="str">
        <x:v>Jordan Lee</x:v>
      </x:c>
      <x:c r="J8" s="157" t="str">
        <x:v>Instructed the user not to click or reply, captured sender and subject details, checked whether a link was opened, and escalated the message for security review.</x:v>
      </x:c>
      <x:c r="K8" s="157" t="str">
        <x:v>Message quarantined, account activity reviewed, and the user completed phishing guidance.</x:v>
      </x:c>
      <x:c r="L8" s="158" t="n">
        <x:v>46151</x:v>
      </x:c>
      <x:c r="M8" s="159" t="n">
        <x:f>IF(B8="","",IF(L8="",TODAY()-B8,L8-B8))</x:f>
        <x:v>1</x:v>
      </x:c>
      <x:c r="N8" s="160" t="n">
        <x:v>0.2</x:v>
      </x:c>
      <x:c r="O8" s="160" t="n">
        <x:f>IFERROR(VLOOKUP(G8,'Lists'!$F$2:$G$5,2,FALSE),"")</x:f>
        <x:v>1</x:v>
      </x:c>
      <x:c r="P8" s="157" t="str">
        <x:f>IF(N8="","",IF(N8&lt;=O8,"Met","Missed"))</x:f>
        <x:v>Met</x:v>
      </x:c>
    </x:row>
    <x:row r="9" ht="42" customHeight="1">
      <x:c r="A9" s="153" t="str">
        <x:v>INC-1007</x:v>
      </x:c>
      <x:c r="B9" s="154" t="n">
        <x:v>46151</x:v>
      </x:c>
      <x:c r="C9" s="157" t="str">
        <x:v>Isabella Moore</x:v>
      </x:c>
      <x:c r="D9" s="157" t="str">
        <x:v>Reservations</x:v>
      </x:c>
      <x:c r="E9" s="157" t="str">
        <x:v>Email</x:v>
      </x:c>
      <x:c r="F9" s="157" t="str">
        <x:v>Outlook on CORP-LT-213 is not syncing new messages.</x:v>
      </x:c>
      <x:c r="G9" s="303" t="str">
        <x:v>Medium</x:v>
      </x:c>
      <x:c r="H9" s="304" t="str">
        <x:v>Closed</x:v>
      </x:c>
      <x:c r="I9" s="305" t="str">
        <x:v>Priya Shah</x:v>
      </x:c>
      <x:c r="J9" s="157" t="str">
        <x:v>Verified internet access and mailbox availability, checked Work Offline status, restarted Outlook, recreated the local profile, and tested send/receive.</x:v>
      </x:c>
      <x:c r="K9" s="157" t="str">
        <x:v>Mailbox synchronization resumed and a test message was delivered.</x:v>
      </x:c>
      <x:c r="L9" s="158" t="n">
        <x:v>46153</x:v>
      </x:c>
      <x:c r="M9" s="159" t="n">
        <x:f>IF(B9="","",IF(L9="",TODAY()-B9,L9-B9))</x:f>
        <x:v>2</x:v>
      </x:c>
      <x:c r="N9" s="160" t="n">
        <x:v>2.6</x:v>
      </x:c>
      <x:c r="O9" s="160" t="n">
        <x:f>IFERROR(VLOOKUP(G9,'Lists'!$F$2:$G$5,2,FALSE),"")</x:f>
        <x:v>8</x:v>
      </x:c>
      <x:c r="P9" s="157" t="str">
        <x:f>IF(N9="","",IF(N9&lt;=O9,"Met","Missed"))</x:f>
        <x:v>Met</x:v>
      </x:c>
    </x:row>
    <x:row r="10" ht="42" customHeight="1">
      <x:c r="A10" s="153" t="str">
        <x:v>INC-1008</x:v>
      </x:c>
      <x:c r="B10" s="154" t="n">
        <x:v>46152</x:v>
      </x:c>
      <x:c r="C10" s="157" t="str">
        <x:v>Elijah Wright</x:v>
      </x:c>
      <x:c r="D10" s="157" t="str">
        <x:v>Finance</x:v>
      </x:c>
      <x:c r="E10" s="157" t="str">
        <x:v>VPN</x:v>
      </x:c>
      <x:c r="F10" s="157" t="str">
        <x:v>Elijah Wright receives an authentication error while connecting to the company VPN.</x:v>
      </x:c>
      <x:c r="G10" s="303" t="str">
        <x:v>High</x:v>
      </x:c>
      <x:c r="H10" s="304" t="str">
        <x:v>Closed</x:v>
      </x:c>
      <x:c r="I10" s="305" t="str">
        <x:v>Marcus Brown</x:v>
      </x:c>
      <x:c r="J10" s="157" t="str">
        <x:v>Confirmed internet connectivity, verified system time, checked the VPN profile, re-entered approved credentials, and renewed the MFA session.</x:v>
      </x:c>
      <x:c r="K10" s="157" t="str">
        <x:v>VPN tunnel connected and access to the internal portal was confirmed.</x:v>
      </x:c>
      <x:c r="L10" s="158" t="n">
        <x:v>46153</x:v>
      </x:c>
      <x:c r="M10" s="159" t="n">
        <x:f>IF(B10="","",IF(L10="",TODAY()-B10,L10-B10))</x:f>
        <x:v>1</x:v>
      </x:c>
      <x:c r="N10" s="160" t="n">
        <x:v>1.8</x:v>
      </x:c>
      <x:c r="O10" s="160" t="n">
        <x:f>IFERROR(VLOOKUP(G10,'Lists'!$F$2:$G$5,2,FALSE),"")</x:f>
        <x:v>4</x:v>
      </x:c>
      <x:c r="P10" s="157" t="str">
        <x:f>IF(N10="","",IF(N10&lt;=O10,"Met","Missed"))</x:f>
        <x:v>Met</x:v>
      </x:c>
    </x:row>
    <x:row r="11" ht="42" customHeight="1">
      <x:c r="A11" s="153" t="str">
        <x:v>INC-1009</x:v>
      </x:c>
      <x:c r="B11" s="154" t="n">
        <x:v>46153</x:v>
      </x:c>
      <x:c r="C11" s="157" t="str">
        <x:v>Sofia Campbell</x:v>
      </x:c>
      <x:c r="D11" s="157" t="str">
        <x:v>Front Desk</x:v>
      </x:c>
      <x:c r="E11" s="157" t="str">
        <x:v>Audio/Visual</x:v>
      </x:c>
      <x:c r="F11" s="157" t="str">
        <x:v>Conference room display has video but no audio before a scheduled event.</x:v>
      </x:c>
      <x:c r="G11" s="303" t="str">
        <x:v>High</x:v>
      </x:c>
      <x:c r="H11" s="304" t="str">
        <x:v>Closed</x:v>
      </x:c>
      <x:c r="I11" s="305" t="str">
        <x:v>Andres Camacho</x:v>
      </x:c>
      <x:c r="J11" s="157" t="str">
        <x:v>Checked cable seating, display input, Windows output device, application audio settings, and room-system volume; restarted the conference application.</x:v>
      </x:c>
      <x:c r="K11" s="157" t="str">
        <x:v>Room speakers produced clear audio during a test call.</x:v>
      </x:c>
      <x:c r="L11" s="158" t="n">
        <x:v>46154</x:v>
      </x:c>
      <x:c r="M11" s="159" t="n">
        <x:f>IF(B11="","",IF(L11="",TODAY()-B11,L11-B11))</x:f>
        <x:v>1</x:v>
      </x:c>
      <x:c r="N11" s="160" t="n">
        <x:v>4.5</x:v>
      </x:c>
      <x:c r="O11" s="160" t="n">
        <x:f>IFERROR(VLOOKUP(G11,'Lists'!$F$2:$G$5,2,FALSE),"")</x:f>
        <x:v>4</x:v>
      </x:c>
      <x:c r="P11" s="157" t="str">
        <x:f>IF(N11="","",IF(N11&lt;=O11,"Met","Missed"))</x:f>
        <x:v>Missed</x:v>
      </x:c>
    </x:row>
    <x:row r="12" ht="42" customHeight="1">
      <x:c r="A12" s="153" t="str">
        <x:v>INC-1010</x:v>
      </x:c>
      <x:c r="B12" s="154" t="n">
        <x:v>46154</x:v>
      </x:c>
      <x:c r="C12" s="157" t="str">
        <x:v>Eric Wilson</x:v>
      </x:c>
      <x:c r="D12" s="157" t="str">
        <x:v>Maintenance</x:v>
      </x:c>
      <x:c r="E12" s="157" t="str">
        <x:v>Mobile Device</x:v>
      </x:c>
      <x:c r="F12" s="157" t="str">
        <x:v>Eric Wilson's work phone is not receiving the MFA approval prompt.</x:v>
      </x:c>
      <x:c r="G12" s="303" t="str">
        <x:v>Low</x:v>
      </x:c>
      <x:c r="H12" s="304" t="str">
        <x:v>Closed</x:v>
      </x:c>
      <x:c r="I12" s="305" t="str">
        <x:v>Jordan Lee</x:v>
      </x:c>
      <x:c r="J12" s="157" t="str">
        <x:v>Verified network access, notification permissions, correct device time, authenticator registration, and background-data settings.</x:v>
      </x:c>
      <x:c r="K12" s="157" t="str">
        <x:v>Authenticator registration refreshed and a test approval completed.</x:v>
      </x:c>
      <x:c r="L12" s="158" t="n">
        <x:v>46157</x:v>
      </x:c>
      <x:c r="M12" s="159" t="n">
        <x:f>IF(B12="","",IF(L12="",TODAY()-B12,L12-B12))</x:f>
        <x:v>3</x:v>
      </x:c>
      <x:c r="N12" s="160" t="n">
        <x:v>16.3</x:v>
      </x:c>
      <x:c r="O12" s="160" t="n">
        <x:f>IFERROR(VLOOKUP(G12,'Lists'!$F$2:$G$5,2,FALSE),"")</x:f>
        <x:v>24</x:v>
      </x:c>
      <x:c r="P12" s="157" t="str">
        <x:f>IF(N12="","",IF(N12&lt;=O12,"Met","Missed"))</x:f>
        <x:v>Met</x:v>
      </x:c>
    </x:row>
    <x:row r="13" ht="42" customHeight="1">
      <x:c r="A13" s="153" t="str">
        <x:v>INC-1011</x:v>
      </x:c>
      <x:c r="B13" s="154" t="n">
        <x:v>46155</x:v>
      </x:c>
      <x:c r="C13" s="157" t="str">
        <x:v>Ava Davis</x:v>
      </x:c>
      <x:c r="D13" s="157" t="str">
        <x:v>Security</x:v>
      </x:c>
      <x:c r="E13" s="157" t="str">
        <x:v>Network</x:v>
      </x:c>
      <x:c r="F13" s="157" t="str">
        <x:v>CORP-LT-211 cannot connect to the secure staff Wi-Fi in Security Desk.</x:v>
      </x:c>
      <x:c r="G13" s="303" t="str">
        <x:v>High</x:v>
      </x:c>
      <x:c r="H13" s="304" t="str">
        <x:v>Closed</x:v>
      </x:c>
      <x:c r="I13" s="305" t="str">
        <x:v>Priya Shah</x:v>
      </x:c>
      <x:c r="J13" s="157" t="str">
        <x:v>Confirmed the outage was limited to one device, verified airplane mode was off, renewed the IP configuration, forgot the saved network, and reconnected with approved credentials.</x:v>
      </x:c>
      <x:c r="K13" s="157" t="str">
        <x:v>Network access was restored and two internal resources loaded successfully.</x:v>
      </x:c>
      <x:c r="L13" s="158" t="n">
        <x:v>46156</x:v>
      </x:c>
      <x:c r="M13" s="159" t="n">
        <x:f>IF(B13="","",IF(L13="",TODAY()-B13,L13-B13))</x:f>
        <x:v>1</x:v>
      </x:c>
      <x:c r="N13" s="160" t="n">
        <x:v>0.8</x:v>
      </x:c>
      <x:c r="O13" s="160" t="n">
        <x:f>IFERROR(VLOOKUP(G13,'Lists'!$F$2:$G$5,2,FALSE),"")</x:f>
        <x:v>4</x:v>
      </x:c>
      <x:c r="P13" s="157" t="str">
        <x:f>IF(N13="","",IF(N13&lt;=O13,"Met","Missed"))</x:f>
        <x:v>Met</x:v>
      </x:c>
    </x:row>
    <x:row r="14" ht="42" customHeight="1">
      <x:c r="A14" s="153" t="str">
        <x:v>INC-1012</x:v>
      </x:c>
      <x:c r="B14" s="154" t="n">
        <x:v>46156</x:v>
      </x:c>
      <x:c r="C14" s="157" t="str">
        <x:v>Logan Hernandez</x:v>
      </x:c>
      <x:c r="D14" s="157" t="str">
        <x:v>Sales</x:v>
      </x:c>
      <x:c r="E14" s="157" t="str">
        <x:v>Account Access</x:v>
      </x:c>
      <x:c r="F14" s="157" t="str">
        <x:v>Logan Hernandez is locked out after repeated sign-in attempts.</x:v>
      </x:c>
      <x:c r="G14" s="303" t="str">
        <x:v>Medium</x:v>
      </x:c>
      <x:c r="H14" s="304" t="str">
        <x:v>Closed</x:v>
      </x:c>
      <x:c r="I14" s="305" t="str">
        <x:v>Marcus Brown</x:v>
      </x:c>
      <x:c r="J14" s="157" t="str">
        <x:v>Verified the requester's identity, reviewed the lockout message, checked account status, and followed the password-reset procedure.</x:v>
      </x:c>
      <x:c r="K14" s="157" t="str">
        <x:v>Account unlocked, temporary password issued, and successful sign-in confirmed.</x:v>
      </x:c>
      <x:c r="L14" s="158" t="n">
        <x:v>46158</x:v>
      </x:c>
      <x:c r="M14" s="159" t="n">
        <x:f>IF(B14="","",IF(L14="",TODAY()-B14,L14-B14))</x:f>
        <x:v>2</x:v>
      </x:c>
      <x:c r="N14" s="160" t="n">
        <x:v>2.6</x:v>
      </x:c>
      <x:c r="O14" s="160" t="n">
        <x:f>IFERROR(VLOOKUP(G14,'Lists'!$F$2:$G$5,2,FALSE),"")</x:f>
        <x:v>8</x:v>
      </x:c>
      <x:c r="P14" s="157" t="str">
        <x:f>IF(N14="","",IF(N14&lt;=O14,"Met","Missed"))</x:f>
        <x:v>Met</x:v>
      </x:c>
    </x:row>
    <x:row r="15" ht="42" customHeight="1">
      <x:c r="A15" s="153" t="str">
        <x:v>INC-1013</x:v>
      </x:c>
      <x:c r="B15" s="154" t="n">
        <x:v>46157</x:v>
      </x:c>
      <x:c r="C15" s="157" t="str">
        <x:v>Luna Nelson</x:v>
      </x:c>
      <x:c r="D15" s="157" t="str">
        <x:v>IT Operations</x:v>
      </x:c>
      <x:c r="E15" s="157" t="str">
        <x:v>Software</x:v>
      </x:c>
      <x:c r="F15" s="157" t="str">
        <x:v>Microsoft Excel freezes on CORP-LT-225 when opening an operations report.</x:v>
      </x:c>
      <x:c r="G15" s="303" t="str">
        <x:v>Medium</x:v>
      </x:c>
      <x:c r="H15" s="304" t="str">
        <x:v>Closed</x:v>
      </x:c>
      <x:c r="I15" s="305" t="str">
        <x:v>Andres Camacho</x:v>
      </x:c>
      <x:c r="J15" s="157" t="str">
        <x:v>Tested another workbook, checked available storage, ended the stuck process, installed pending updates, and ran an Office quick repair.</x:v>
      </x:c>
      <x:c r="K15" s="157" t="str">
        <x:v>The report opened normally after repair and a restart.</x:v>
      </x:c>
      <x:c r="L15" s="158" t="n">
        <x:v>46159</x:v>
      </x:c>
      <x:c r="M15" s="159" t="n">
        <x:f>IF(B15="","",IF(L15="",TODAY()-B15,L15-B15))</x:f>
        <x:v>2</x:v>
      </x:c>
      <x:c r="N15" s="160" t="n">
        <x:v>3.5</x:v>
      </x:c>
      <x:c r="O15" s="160" t="n">
        <x:f>IFERROR(VLOOKUP(G15,'Lists'!$F$2:$G$5,2,FALSE),"")</x:f>
        <x:v>8</x:v>
      </x:c>
      <x:c r="P15" s="157" t="str">
        <x:f>IF(N15="","",IF(N15&lt;=O15,"Met","Missed"))</x:f>
        <x:v>Met</x:v>
      </x:c>
    </x:row>
    <x:row r="16" ht="42" customHeight="1">
      <x:c r="A16" s="153" t="str">
        <x:v>INC-1014</x:v>
      </x:c>
      <x:c r="B16" s="154" t="n">
        <x:v>46158</x:v>
      </x:c>
      <x:c r="C16" s="157" t="str">
        <x:v>James Carter</x:v>
      </x:c>
      <x:c r="D16" s="157" t="str">
        <x:v>Housekeeping</x:v>
      </x:c>
      <x:c r="E16" s="157" t="str">
        <x:v>Printer</x:v>
      </x:c>
      <x:c r="F16" s="157" t="str">
        <x:v>Shared printer for Housekeeping shows offline and jobs remain queued.</x:v>
      </x:c>
      <x:c r="G16" s="303" t="str">
        <x:v>Low</x:v>
      </x:c>
      <x:c r="H16" s="304" t="str">
        <x:v>Closed</x:v>
      </x:c>
      <x:c r="I16" s="305" t="str">
        <x:v>Jordan Lee</x:v>
      </x:c>
      <x:c r="J16" s="157" t="str">
        <x:v>Checked power, paper, network connectivity, and the print queue; restarted the Print Spooler service and re-added the printer by IP address.</x:v>
      </x:c>
      <x:c r="K16" s="157" t="str">
        <x:v>Queue cleared and a test page printed successfully.</x:v>
      </x:c>
      <x:c r="L16" s="158" t="n">
        <x:v>46161</x:v>
      </x:c>
      <x:c r="M16" s="159" t="n">
        <x:f>IF(B16="","",IF(L16="",TODAY()-B16,L16-B16))</x:f>
        <x:v>3</x:v>
      </x:c>
      <x:c r="N16" s="160" t="n">
        <x:v>13.4</x:v>
      </x:c>
      <x:c r="O16" s="160" t="n">
        <x:f>IFERROR(VLOOKUP(G16,'Lists'!$F$2:$G$5,2,FALSE),"")</x:f>
        <x:v>24</x:v>
      </x:c>
      <x:c r="P16" s="157" t="str">
        <x:f>IF(N16="","",IF(N16&lt;=O16,"Met","Missed"))</x:f>
        <x:v>Met</x:v>
      </x:c>
    </x:row>
    <x:row r="17" ht="42" customHeight="1">
      <x:c r="A17" s="153" t="str">
        <x:v>INC-1015</x:v>
      </x:c>
      <x:c r="B17" s="154" t="n">
        <x:v>46159</x:v>
      </x:c>
      <x:c r="C17" s="157" t="str">
        <x:v>Sophia Ramirez</x:v>
      </x:c>
      <x:c r="D17" s="157" t="str">
        <x:v>Food &amp; Beverage</x:v>
      </x:c>
      <x:c r="E17" s="157" t="str">
        <x:v>Hardware</x:v>
      </x:c>
      <x:c r="F17" s="157" t="str">
        <x:v>CORP-LT-209 is slow after startup and applications take several minutes to open.</x:v>
      </x:c>
      <x:c r="G17" s="303" t="str">
        <x:v>Medium</x:v>
      </x:c>
      <x:c r="H17" s="304" t="str">
        <x:v>Closed</x:v>
      </x:c>
      <x:c r="I17" s="305" t="str">
        <x:v>Priya Shah</x:v>
      </x:c>
      <x:c r="J17" s="157" t="str">
        <x:v>Reviewed startup applications, checked free disk space and Task Manager utilization, installed updates, and completed an approved malware scan.</x:v>
      </x:c>
      <x:c r="K17" s="157" t="str">
        <x:v>Startup performance improved and normal application response was verified.</x:v>
      </x:c>
      <x:c r="L17" s="158" t="n">
        <x:v>46161</x:v>
      </x:c>
      <x:c r="M17" s="159" t="n">
        <x:f>IF(B17="","",IF(L17="",TODAY()-B17,L17-B17))</x:f>
        <x:v>2</x:v>
      </x:c>
      <x:c r="N17" s="160" t="n">
        <x:v>5.4</x:v>
      </x:c>
      <x:c r="O17" s="160" t="n">
        <x:f>IFERROR(VLOOKUP(G17,'Lists'!$F$2:$G$5,2,FALSE),"")</x:f>
        <x:v>8</x:v>
      </x:c>
      <x:c r="P17" s="157" t="str">
        <x:f>IF(N17="","",IF(N17&lt;=O17,"Met","Missed"))</x:f>
        <x:v>Met</x:v>
      </x:c>
    </x:row>
    <x:row r="18" ht="42" customHeight="1">
      <x:c r="A18" s="153" t="str">
        <x:v>INC-1016</x:v>
      </x:c>
      <x:c r="B18" s="154" t="n">
        <x:v>46160</x:v>
      </x:c>
      <x:c r="C18" s="157" t="str">
        <x:v>Lucas Allen</x:v>
      </x:c>
      <x:c r="D18" s="157" t="str">
        <x:v>Management</x:v>
      </x:c>
      <x:c r="E18" s="157" t="str">
        <x:v>Security</x:v>
      </x:c>
      <x:c r="F18" s="157" t="str">
        <x:v>Lucas Allen reported a suspicious email requesting password verification.</x:v>
      </x:c>
      <x:c r="G18" s="303" t="str">
        <x:v>Critical</x:v>
      </x:c>
      <x:c r="H18" s="304" t="str">
        <x:v>Closed</x:v>
      </x:c>
      <x:c r="I18" s="305" t="str">
        <x:v>Marcus Brown</x:v>
      </x:c>
      <x:c r="J18" s="157" t="str">
        <x:v>Instructed the user not to click or reply, captured sender and subject details, checked whether a link was opened, and escalated the message for security review.</x:v>
      </x:c>
      <x:c r="K18" s="157" t="str">
        <x:v>Message quarantined, account activity reviewed, and the user completed phishing guidance.</x:v>
      </x:c>
      <x:c r="L18" s="158" t="n">
        <x:v>46161</x:v>
      </x:c>
      <x:c r="M18" s="159" t="n">
        <x:f>IF(B18="","",IF(L18="",TODAY()-B18,L18-B18))</x:f>
        <x:v>1</x:v>
      </x:c>
      <x:c r="N18" s="160" t="n">
        <x:v>0.2</x:v>
      </x:c>
      <x:c r="O18" s="160" t="n">
        <x:f>IFERROR(VLOOKUP(G18,'Lists'!$F$2:$G$5,2,FALSE),"")</x:f>
        <x:v>1</x:v>
      </x:c>
      <x:c r="P18" s="157" t="str">
        <x:f>IF(N18="","",IF(N18&lt;=O18,"Met","Missed"))</x:f>
        <x:v>Met</x:v>
      </x:c>
    </x:row>
    <x:row r="19" ht="42" customHeight="1">
      <x:c r="A19" s="153" t="str">
        <x:v>INC-1017</x:v>
      </x:c>
      <x:c r="B19" s="154" t="n">
        <x:v>46161</x:v>
      </x:c>
      <x:c r="C19" s="157" t="str">
        <x:v>Camila Baker</x:v>
      </x:c>
      <x:c r="D19" s="157" t="str">
        <x:v>Events</x:v>
      </x:c>
      <x:c r="E19" s="157" t="str">
        <x:v>Email</x:v>
      </x:c>
      <x:c r="F19" s="157" t="str">
        <x:v>Outlook on CORP-LT-223 is not syncing new messages.</x:v>
      </x:c>
      <x:c r="G19" s="303" t="str">
        <x:v>Medium</x:v>
      </x:c>
      <x:c r="H19" s="304" t="str">
        <x:v>Closed</x:v>
      </x:c>
      <x:c r="I19" s="305" t="str">
        <x:v>Andres Camacho</x:v>
      </x:c>
      <x:c r="J19" s="157" t="str">
        <x:v>Verified internet access and mailbox availability, checked Work Offline status, restarted Outlook, recreated the local profile, and tested send/receive.</x:v>
      </x:c>
      <x:c r="K19" s="157" t="str">
        <x:v>Mailbox synchronization resumed and a test message was delivered.</x:v>
      </x:c>
      <x:c r="L19" s="158" t="n">
        <x:v>46163</x:v>
      </x:c>
      <x:c r="M19" s="159" t="n">
        <x:f>IF(B19="","",IF(L19="",TODAY()-B19,L19-B19))</x:f>
        <x:v>2</x:v>
      </x:c>
      <x:c r="N19" s="160" t="n">
        <x:v>8.5</x:v>
      </x:c>
      <x:c r="O19" s="160" t="n">
        <x:f>IFERROR(VLOOKUP(G19,'Lists'!$F$2:$G$5,2,FALSE),"")</x:f>
        <x:v>8</x:v>
      </x:c>
      <x:c r="P19" s="157" t="str">
        <x:f>IF(N19="","",IF(N19&lt;=O19,"Met","Missed"))</x:f>
        <x:v>Missed</x:v>
      </x:c>
    </x:row>
    <x:row r="20" ht="42" customHeight="1">
      <x:c r="A20" s="153" t="str">
        <x:v>INC-1018</x:v>
      </x:c>
      <x:c r="B20" s="154" t="n">
        <x:v>46162</x:v>
      </x:c>
      <x:c r="C20" s="157" t="str">
        <x:v>Daniel Turner</x:v>
      </x:c>
      <x:c r="D20" s="157" t="str">
        <x:v>Maintenance</x:v>
      </x:c>
      <x:c r="E20" s="157" t="str">
        <x:v>VPN</x:v>
      </x:c>
      <x:c r="F20" s="157" t="str">
        <x:v>Daniel Turner receives an authentication error while connecting to the company VPN.</x:v>
      </x:c>
      <x:c r="G20" s="303" t="str">
        <x:v>High</x:v>
      </x:c>
      <x:c r="H20" s="304" t="str">
        <x:v>Closed</x:v>
      </x:c>
      <x:c r="I20" s="305" t="str">
        <x:v>Jordan Lee</x:v>
      </x:c>
      <x:c r="J20" s="157" t="str">
        <x:v>Confirmed internet connectivity, verified system time, checked the VPN profile, re-entered approved credentials, and renewed the MFA session.</x:v>
      </x:c>
      <x:c r="K20" s="157" t="str">
        <x:v>VPN tunnel connected and access to the internal portal was confirmed.</x:v>
      </x:c>
      <x:c r="L20" s="158" t="n">
        <x:v>46163</x:v>
      </x:c>
      <x:c r="M20" s="159" t="n">
        <x:f>IF(B20="","",IF(L20="",TODAY()-B20,L20-B20))</x:f>
        <x:v>1</x:v>
      </x:c>
      <x:c r="N20" s="160" t="n">
        <x:v>1.8</x:v>
      </x:c>
      <x:c r="O20" s="160" t="n">
        <x:f>IFERROR(VLOOKUP(G20,'Lists'!$F$2:$G$5,2,FALSE),"")</x:f>
        <x:v>4</x:v>
      </x:c>
      <x:c r="P20" s="157" t="str">
        <x:f>IF(N20="","",IF(N20&lt;=O20,"Met","Missed"))</x:f>
        <x:v>Met</x:v>
      </x:c>
    </x:row>
    <x:row r="21" ht="42" customHeight="1">
      <x:c r="A21" s="153" t="str">
        <x:v>INC-1019</x:v>
      </x:c>
      <x:c r="B21" s="154" t="n">
        <x:v>46163</x:v>
      </x:c>
      <x:c r="C21" s="157" t="str">
        <x:v>Olivia Martin</x:v>
      </x:c>
      <x:c r="D21" s="157" t="str">
        <x:v>Finance</x:v>
      </x:c>
      <x:c r="E21" s="157" t="str">
        <x:v>Audio/Visual</x:v>
      </x:c>
      <x:c r="F21" s="157" t="str">
        <x:v>Conference room display has video but no audio before a scheduled event.</x:v>
      </x:c>
      <x:c r="G21" s="303" t="str">
        <x:v>High</x:v>
      </x:c>
      <x:c r="H21" s="304" t="str">
        <x:v>Closed</x:v>
      </x:c>
      <x:c r="I21" s="305" t="str">
        <x:v>Priya Shah</x:v>
      </x:c>
      <x:c r="J21" s="157" t="str">
        <x:v>Checked cable seating, display input, Windows output device, application audio settings, and room-system volume; restarted the conference application.</x:v>
      </x:c>
      <x:c r="K21" s="157" t="str">
        <x:v>Room speakers produced clear audio during a test call.</x:v>
      </x:c>
      <x:c r="L21" s="158" t="n">
        <x:v>46164</x:v>
      </x:c>
      <x:c r="M21" s="159" t="n">
        <x:f>IF(B21="","",IF(L21="",TODAY()-B21,L21-B21))</x:f>
        <x:v>1</x:v>
      </x:c>
      <x:c r="N21" s="160" t="n">
        <x:v>2.2</x:v>
      </x:c>
      <x:c r="O21" s="160" t="n">
        <x:f>IFERROR(VLOOKUP(G21,'Lists'!$F$2:$G$5,2,FALSE),"")</x:f>
        <x:v>4</x:v>
      </x:c>
      <x:c r="P21" s="157" t="str">
        <x:f>IF(N21="","",IF(N21&lt;=O21,"Met","Missed"))</x:f>
        <x:v>Met</x:v>
      </x:c>
    </x:row>
    <x:row r="22" ht="42" customHeight="1">
      <x:c r="A22" s="153" t="str">
        <x:v>INC-1020</x:v>
      </x:c>
      <x:c r="B22" s="154" t="n">
        <x:v>46164</x:v>
      </x:c>
      <x:c r="C22" s="157" t="str">
        <x:v>Mason Clark</x:v>
      </x:c>
      <x:c r="D22" s="157" t="str">
        <x:v>Front Desk</x:v>
      </x:c>
      <x:c r="E22" s="157" t="str">
        <x:v>Mobile Device</x:v>
      </x:c>
      <x:c r="F22" s="157" t="str">
        <x:v>Mason Clark's work phone is not receiving the MFA approval prompt.</x:v>
      </x:c>
      <x:c r="G22" s="303" t="str">
        <x:v>Low</x:v>
      </x:c>
      <x:c r="H22" s="304" t="str">
        <x:v>Closed</x:v>
      </x:c>
      <x:c r="I22" s="305" t="str">
        <x:v>Marcus Brown</x:v>
      </x:c>
      <x:c r="J22" s="157" t="str">
        <x:v>Verified network access, notification permissions, correct device time, authenticator registration, and background-data settings.</x:v>
      </x:c>
      <x:c r="K22" s="157" t="str">
        <x:v>Authenticator registration refreshed and a test approval completed.</x:v>
      </x:c>
      <x:c r="L22" s="158" t="n">
        <x:v>46167</x:v>
      </x:c>
      <x:c r="M22" s="159" t="n">
        <x:f>IF(B22="","",IF(L22="",TODAY()-B22,L22-B22))</x:f>
        <x:v>3</x:v>
      </x:c>
      <x:c r="N22" s="160" t="n">
        <x:v>27.5</x:v>
      </x:c>
      <x:c r="O22" s="160" t="n">
        <x:f>IFERROR(VLOOKUP(G22,'Lists'!$F$2:$G$5,2,FALSE),"")</x:f>
        <x:v>24</x:v>
      </x:c>
      <x:c r="P22" s="157" t="str">
        <x:f>IF(N22="","",IF(N22&lt;=O22,"Met","Missed"))</x:f>
        <x:v>Missed</x:v>
      </x:c>
    </x:row>
    <x:row r="23" ht="42" customHeight="1">
      <x:c r="A23" s="153" t="str">
        <x:v>INC-1021</x:v>
      </x:c>
      <x:c r="B23" s="154" t="n">
        <x:v>46165</x:v>
      </x:c>
      <x:c r="C23" s="157" t="str">
        <x:v>Evelyn Scott</x:v>
      </x:c>
      <x:c r="D23" s="157" t="str">
        <x:v>Human Resources</x:v>
      </x:c>
      <x:c r="E23" s="157" t="str">
        <x:v>Network</x:v>
      </x:c>
      <x:c r="F23" s="157" t="str">
        <x:v>CORP-LT-221 cannot connect to the secure staff Wi-Fi in HR Office.</x:v>
      </x:c>
      <x:c r="G23" s="303" t="str">
        <x:v>High</x:v>
      </x:c>
      <x:c r="H23" s="304" t="str">
        <x:v>Closed</x:v>
      </x:c>
      <x:c r="I23" s="305" t="str">
        <x:v>Andres Camacho</x:v>
      </x:c>
      <x:c r="J23" s="157" t="str">
        <x:v>Confirmed the outage was limited to one device, verified airplane mode was off, renewed the IP configuration, forgot the saved network, and reconnected with approved credentials.</x:v>
      </x:c>
      <x:c r="K23" s="157" t="str">
        <x:v>Network access was restored and two internal resources loaded successfully.</x:v>
      </x:c>
      <x:c r="L23" s="158" t="n">
        <x:v>46166</x:v>
      </x:c>
      <x:c r="M23" s="159" t="n">
        <x:f>IF(B23="","",IF(L23="",TODAY()-B23,L23-B23))</x:f>
        <x:v>1</x:v>
      </x:c>
      <x:c r="N23" s="160" t="n">
        <x:v>0.8</x:v>
      </x:c>
      <x:c r="O23" s="160" t="n">
        <x:f>IFERROR(VLOOKUP(G23,'Lists'!$F$2:$G$5,2,FALSE),"")</x:f>
        <x:v>4</x:v>
      </x:c>
      <x:c r="P23" s="157" t="str">
        <x:f>IF(N23="","",IF(N23&lt;=O23,"Met","Missed"))</x:f>
        <x:v>Met</x:v>
      </x:c>
    </x:row>
    <x:row r="24" ht="42" customHeight="1">
      <x:c r="A24" s="153" t="str">
        <x:v>INC-1022</x:v>
      </x:c>
      <x:c r="B24" s="154" t="n">
        <x:v>46166</x:v>
      </x:c>
      <x:c r="C24" s="157" t="str">
        <x:v>Jack Mitchell</x:v>
      </x:c>
      <x:c r="D24" s="157" t="str">
        <x:v>Housekeeping</x:v>
      </x:c>
      <x:c r="E24" s="157" t="str">
        <x:v>Account Access</x:v>
      </x:c>
      <x:c r="F24" s="157" t="str">
        <x:v>Jack Mitchell is locked out after repeated sign-in attempts.</x:v>
      </x:c>
      <x:c r="G24" s="303" t="str">
        <x:v>Medium</x:v>
      </x:c>
      <x:c r="H24" s="304" t="str">
        <x:v>Closed</x:v>
      </x:c>
      <x:c r="I24" s="305" t="str">
        <x:v>Jordan Lee</x:v>
      </x:c>
      <x:c r="J24" s="157" t="str">
        <x:v>Verified the requester's identity, reviewed the lockout message, checked account status, and followed the password-reset procedure.</x:v>
      </x:c>
      <x:c r="K24" s="157" t="str">
        <x:v>Account unlocked, temporary password issued, and successful sign-in confirmed.</x:v>
      </x:c>
      <x:c r="L24" s="158" t="n">
        <x:v>46168</x:v>
      </x:c>
      <x:c r="M24" s="159" t="n">
        <x:f>IF(B24="","",IF(L24="",TODAY()-B24,L24-B24))</x:f>
        <x:v>2</x:v>
      </x:c>
      <x:c r="N24" s="160" t="n">
        <x:v>2.6</x:v>
      </x:c>
      <x:c r="O24" s="160" t="n">
        <x:f>IFERROR(VLOOKUP(G24,'Lists'!$F$2:$G$5,2,FALSE),"")</x:f>
        <x:v>8</x:v>
      </x:c>
      <x:c r="P24" s="157" t="str">
        <x:f>IF(N24="","",IF(N24&lt;=O24,"Met","Missed"))</x:f>
        <x:v>Met</x:v>
      </x:c>
    </x:row>
    <x:row r="25" ht="42" customHeight="1">
      <x:c r="A25" s="153" t="str">
        <x:v>INC-1023</x:v>
      </x:c>
      <x:c r="B25" s="154" t="n">
        <x:v>46167</x:v>
      </x:c>
      <x:c r="C25" s="157" t="str">
        <x:v>Nina Patel</x:v>
      </x:c>
      <x:c r="D25" s="157" t="str">
        <x:v>Sales</x:v>
      </x:c>
      <x:c r="E25" s="157" t="str">
        <x:v>Software</x:v>
      </x:c>
      <x:c r="F25" s="157" t="str">
        <x:v>Microsoft Excel freezes on CORP-LT-205 when opening an operations report.</x:v>
      </x:c>
      <x:c r="G25" s="303" t="str">
        <x:v>Medium</x:v>
      </x:c>
      <x:c r="H25" s="304" t="str">
        <x:v>Closed</x:v>
      </x:c>
      <x:c r="I25" s="305" t="str">
        <x:v>Priya Shah</x:v>
      </x:c>
      <x:c r="J25" s="157" t="str">
        <x:v>Tested another workbook, checked available storage, ended the stuck process, installed pending updates, and ran an Office quick repair.</x:v>
      </x:c>
      <x:c r="K25" s="157" t="str">
        <x:v>The report opened normally after repair and a restart.</x:v>
      </x:c>
      <x:c r="L25" s="158" t="n">
        <x:v>46169</x:v>
      </x:c>
      <x:c r="M25" s="159" t="n">
        <x:f>IF(B25="","",IF(L25="",TODAY()-B25,L25-B25))</x:f>
        <x:v>2</x:v>
      </x:c>
      <x:c r="N25" s="160" t="n">
        <x:v>3.5</x:v>
      </x:c>
      <x:c r="O25" s="160" t="n">
        <x:f>IFERROR(VLOOKUP(G25,'Lists'!$F$2:$G$5,2,FALSE),"")</x:f>
        <x:v>8</x:v>
      </x:c>
      <x:c r="P25" s="157" t="str">
        <x:f>IF(N25="","",IF(N25&lt;=O25,"Met","Missed"))</x:f>
        <x:v>Met</x:v>
      </x:c>
    </x:row>
    <x:row r="26" ht="42" customHeight="1">
      <x:c r="A26" s="153" t="str">
        <x:v>INC-1024</x:v>
      </x:c>
      <x:c r="B26" s="154" t="n">
        <x:v>46168</x:v>
      </x:c>
      <x:c r="C26" s="157" t="str">
        <x:v>Ethan Brown</x:v>
      </x:c>
      <x:c r="D26" s="157" t="str">
        <x:v>IT Operations</x:v>
      </x:c>
      <x:c r="E26" s="157" t="str">
        <x:v>Printer</x:v>
      </x:c>
      <x:c r="F26" s="157" t="str">
        <x:v>Shared printer for IT Operations shows offline and jobs remain queued.</x:v>
      </x:c>
      <x:c r="G26" s="303" t="str">
        <x:v>Low</x:v>
      </x:c>
      <x:c r="H26" s="304" t="str">
        <x:v>Closed</x:v>
      </x:c>
      <x:c r="I26" s="305" t="str">
        <x:v>Marcus Brown</x:v>
      </x:c>
      <x:c r="J26" s="157" t="str">
        <x:v>Checked power, paper, network connectivity, and the print queue; restarted the Print Spooler service and re-added the printer by IP address.</x:v>
      </x:c>
      <x:c r="K26" s="157" t="str">
        <x:v>Queue cleared and a test page printed successfully.</x:v>
      </x:c>
      <x:c r="L26" s="158" t="n">
        <x:v>46171</x:v>
      </x:c>
      <x:c r="M26" s="159" t="n">
        <x:f>IF(B26="","",IF(L26="",TODAY()-B26,L26-B26))</x:f>
        <x:v>3</x:v>
      </x:c>
      <x:c r="N26" s="160" t="n">
        <x:v>13.4</x:v>
      </x:c>
      <x:c r="O26" s="160" t="n">
        <x:f>IFERROR(VLOOKUP(G26,'Lists'!$F$2:$G$5,2,FALSE),"")</x:f>
        <x:v>24</x:v>
      </x:c>
      <x:c r="P26" s="157" t="str">
        <x:f>IF(N26="","",IF(N26&lt;=O26,"Met","Missed"))</x:f>
        <x:v>Met</x:v>
      </x:c>
    </x:row>
    <x:row r="27" ht="42" customHeight="1">
      <x:c r="A27" s="153" t="str">
        <x:v>INC-1025</x:v>
      </x:c>
      <x:c r="B27" s="154" t="n">
        <x:v>46169</x:v>
      </x:c>
      <x:c r="C27" s="157" t="str">
        <x:v>Harper King</x:v>
      </x:c>
      <x:c r="D27" s="157" t="str">
        <x:v>Guest Services</x:v>
      </x:c>
      <x:c r="E27" s="157" t="str">
        <x:v>Hardware</x:v>
      </x:c>
      <x:c r="F27" s="157" t="str">
        <x:v>CORP-LT-219 is slow after startup and applications take several minutes to open.</x:v>
      </x:c>
      <x:c r="G27" s="303" t="str">
        <x:v>Medium</x:v>
      </x:c>
      <x:c r="H27" s="304" t="str">
        <x:v>Closed</x:v>
      </x:c>
      <x:c r="I27" s="305" t="str">
        <x:v>Andres Camacho</x:v>
      </x:c>
      <x:c r="J27" s="157" t="str">
        <x:v>Reviewed startup applications, checked free disk space and Task Manager utilization, installed updates, and completed an approved malware scan.</x:v>
      </x:c>
      <x:c r="K27" s="157" t="str">
        <x:v>Startup performance improved and normal application response was verified.</x:v>
      </x:c>
      <x:c r="L27" s="158" t="n">
        <x:v>46171</x:v>
      </x:c>
      <x:c r="M27" s="159" t="n">
        <x:f>IF(B27="","",IF(L27="",TODAY()-B27,L27-B27))</x:f>
        <x:v>2</x:v>
      </x:c>
      <x:c r="N27" s="160" t="n">
        <x:v>8.5</x:v>
      </x:c>
      <x:c r="O27" s="160" t="n">
        <x:f>IFERROR(VLOOKUP(G27,'Lists'!$F$2:$G$5,2,FALSE),"")</x:f>
        <x:v>8</x:v>
      </x:c>
      <x:c r="P27" s="157" t="str">
        <x:f>IF(N27="","",IF(N27&lt;=O27,"Met","Missed"))</x:f>
        <x:v>Missed</x:v>
      </x:c>
    </x:row>
    <x:row r="28" ht="42" customHeight="1">
      <x:c r="A28" s="153" t="str">
        <x:v>INC-1026</x:v>
      </x:c>
      <x:c r="B28" s="154" t="n">
        <x:v>46170</x:v>
      </x:c>
      <x:c r="C28" s="157" t="str">
        <x:v>Sebastian Hill</x:v>
      </x:c>
      <x:c r="D28" s="157" t="str">
        <x:v>Reservations</x:v>
      </x:c>
      <x:c r="E28" s="157" t="str">
        <x:v>Security</x:v>
      </x:c>
      <x:c r="F28" s="157" t="str">
        <x:v>Sebastian Hill reported a suspicious email requesting password verification.</x:v>
      </x:c>
      <x:c r="G28" s="303" t="str">
        <x:v>Critical</x:v>
      </x:c>
      <x:c r="H28" s="304" t="str">
        <x:v>Closed</x:v>
      </x:c>
      <x:c r="I28" s="305" t="str">
        <x:v>Jordan Lee</x:v>
      </x:c>
      <x:c r="J28" s="157" t="str">
        <x:v>Instructed the user not to click or reply, captured sender and subject details, checked whether a link was opened, and escalated the message for security review.</x:v>
      </x:c>
      <x:c r="K28" s="157" t="str">
        <x:v>Message quarantined, account activity reviewed, and the user completed phishing guidance.</x:v>
      </x:c>
      <x:c r="L28" s="158" t="n">
        <x:v>46171</x:v>
      </x:c>
      <x:c r="M28" s="159" t="n">
        <x:f>IF(B28="","",IF(L28="",TODAY()-B28,L28-B28))</x:f>
        <x:v>1</x:v>
      </x:c>
      <x:c r="N28" s="160" t="n">
        <x:v>0.2</x:v>
      </x:c>
      <x:c r="O28" s="160" t="n">
        <x:f>IFERROR(VLOOKUP(G28,'Lists'!$F$2:$G$5,2,FALSE),"")</x:f>
        <x:v>1</x:v>
      </x:c>
      <x:c r="P28" s="157" t="str">
        <x:f>IF(N28="","",IF(N28&lt;=O28,"Met","Missed"))</x:f>
        <x:v>Met</x:v>
      </x:c>
    </x:row>
    <x:row r="29" ht="42" customHeight="1">
      <x:c r="A29" s="153" t="str">
        <x:v>INC-1027</x:v>
      </x:c>
      <x:c r="B29" s="154" t="n">
        <x:v>46171</x:v>
      </x:c>
      <x:c r="C29" s="157" t="str">
        <x:v>Tanya Reed</x:v>
      </x:c>
      <x:c r="D29" s="157" t="str">
        <x:v>Management</x:v>
      </x:c>
      <x:c r="E29" s="157" t="str">
        <x:v>Email</x:v>
      </x:c>
      <x:c r="F29" s="157" t="str">
        <x:v>Outlook on CORP-LT-203 is not syncing new messages.</x:v>
      </x:c>
      <x:c r="G29" s="303" t="str">
        <x:v>Medium</x:v>
      </x:c>
      <x:c r="H29" s="304" t="str">
        <x:v>Closed</x:v>
      </x:c>
      <x:c r="I29" s="305" t="str">
        <x:v>Priya Shah</x:v>
      </x:c>
      <x:c r="J29" s="157" t="str">
        <x:v>Verified internet access and mailbox availability, checked Work Offline status, restarted Outlook, recreated the local profile, and tested send/receive.</x:v>
      </x:c>
      <x:c r="K29" s="157" t="str">
        <x:v>Mailbox synchronization resumed and a test message was delivered.</x:v>
      </x:c>
      <x:c r="L29" s="158" t="n">
        <x:v>46173</x:v>
      </x:c>
      <x:c r="M29" s="159" t="n">
        <x:f>IF(B29="","",IF(L29="",TODAY()-B29,L29-B29))</x:f>
        <x:v>2</x:v>
      </x:c>
      <x:c r="N29" s="160" t="n">
        <x:v>2.6</x:v>
      </x:c>
      <x:c r="O29" s="160" t="n">
        <x:f>IFERROR(VLOOKUP(G29,'Lists'!$F$2:$G$5,2,FALSE),"")</x:f>
        <x:v>8</x:v>
      </x:c>
      <x:c r="P29" s="157" t="str">
        <x:f>IF(N29="","",IF(N29&lt;=O29,"Met","Missed"))</x:f>
        <x:v>Met</x:v>
      </x:c>
    </x:row>
    <x:row r="30" ht="42" customHeight="1">
      <x:c r="A30" s="153" t="str">
        <x:v>INC-1028</x:v>
      </x:c>
      <x:c r="B30" s="154" t="n">
        <x:v>46172</x:v>
      </x:c>
      <x:c r="C30" s="157" t="str">
        <x:v>Liam Johnson</x:v>
      </x:c>
      <x:c r="D30" s="157" t="str">
        <x:v>Events</x:v>
      </x:c>
      <x:c r="E30" s="157" t="str">
        <x:v>VPN</x:v>
      </x:c>
      <x:c r="F30" s="157" t="str">
        <x:v>Liam Johnson receives an authentication error while connecting to the company VPN.</x:v>
      </x:c>
      <x:c r="G30" s="303" t="str">
        <x:v>High</x:v>
      </x:c>
      <x:c r="H30" s="304" t="str">
        <x:v>Closed</x:v>
      </x:c>
      <x:c r="I30" s="305" t="str">
        <x:v>Marcus Brown</x:v>
      </x:c>
      <x:c r="J30" s="157" t="str">
        <x:v>Confirmed internet connectivity, verified system time, checked the VPN profile, re-entered approved credentials, and renewed the MFA session.</x:v>
      </x:c>
      <x:c r="K30" s="157" t="str">
        <x:v>VPN tunnel connected and access to the internal portal was confirmed.</x:v>
      </x:c>
      <x:c r="L30" s="158" t="n">
        <x:v>46173</x:v>
      </x:c>
      <x:c r="M30" s="159" t="n">
        <x:f>IF(B30="","",IF(L30="",TODAY()-B30,L30-B30))</x:f>
        <x:v>1</x:v>
      </x:c>
      <x:c r="N30" s="160" t="n">
        <x:v>1.8</x:v>
      </x:c>
      <x:c r="O30" s="160" t="n">
        <x:f>IFERROR(VLOOKUP(G30,'Lists'!$F$2:$G$5,2,FALSE),"")</x:f>
        <x:v>4</x:v>
      </x:c>
      <x:c r="P30" s="157" t="str">
        <x:f>IF(N30="","",IF(N30&lt;=O30,"Met","Missed"))</x:f>
        <x:v>Met</x:v>
      </x:c>
    </x:row>
    <x:row r="31" ht="42" customHeight="1">
      <x:c r="A31" s="153" t="str">
        <x:v>INC-1029</x:v>
      </x:c>
      <x:c r="B31" s="154" t="n">
        <x:v>46173</x:v>
      </x:c>
      <x:c r="C31" s="157" t="str">
        <x:v>Amelia Young</x:v>
      </x:c>
      <x:c r="D31" s="157" t="str">
        <x:v>Maintenance</x:v>
      </x:c>
      <x:c r="E31" s="157" t="str">
        <x:v>Audio/Visual</x:v>
      </x:c>
      <x:c r="F31" s="157" t="str">
        <x:v>Conference room display has video but no audio before a scheduled event.</x:v>
      </x:c>
      <x:c r="G31" s="303" t="str">
        <x:v>High</x:v>
      </x:c>
      <x:c r="H31" s="304" t="str">
        <x:v>Closed</x:v>
      </x:c>
      <x:c r="I31" s="305" t="str">
        <x:v>Andres Camacho</x:v>
      </x:c>
      <x:c r="J31" s="157" t="str">
        <x:v>Checked cable seating, display input, Windows output device, application audio settings, and room-system volume; restarted the conference application.</x:v>
      </x:c>
      <x:c r="K31" s="157" t="str">
        <x:v>Room speakers produced clear audio during a test call.</x:v>
      </x:c>
      <x:c r="L31" s="158" t="n">
        <x:v>46174</x:v>
      </x:c>
      <x:c r="M31" s="159" t="n">
        <x:f>IF(B31="","",IF(L31="",TODAY()-B31,L31-B31))</x:f>
        <x:v>1</x:v>
      </x:c>
      <x:c r="N31" s="160" t="n">
        <x:v>2.2</x:v>
      </x:c>
      <x:c r="O31" s="160" t="n">
        <x:f>IFERROR(VLOOKUP(G31,'Lists'!$F$2:$G$5,2,FALSE),"")</x:f>
        <x:v>4</x:v>
      </x:c>
      <x:c r="P31" s="157" t="str">
        <x:f>IF(N31="","",IF(N31&lt;=O31,"Met","Missed"))</x:f>
        <x:v>Met</x:v>
      </x:c>
    </x:row>
    <x:row r="32" ht="42" customHeight="1">
      <x:c r="A32" s="153" t="str">
        <x:v>INC-1030</x:v>
      </x:c>
      <x:c r="B32" s="154" t="n">
        <x:v>46174</x:v>
      </x:c>
      <x:c r="C32" s="157" t="str">
        <x:v>Henry Adams</x:v>
      </x:c>
      <x:c r="D32" s="157" t="str">
        <x:v>Security</x:v>
      </x:c>
      <x:c r="E32" s="157" t="str">
        <x:v>Mobile Device</x:v>
      </x:c>
      <x:c r="F32" s="157" t="str">
        <x:v>Henry Adams's work phone is not receiving the MFA approval prompt.</x:v>
      </x:c>
      <x:c r="G32" s="303" t="str">
        <x:v>Low</x:v>
      </x:c>
      <x:c r="H32" s="304" t="str">
        <x:v>Closed</x:v>
      </x:c>
      <x:c r="I32" s="305" t="str">
        <x:v>Jordan Lee</x:v>
      </x:c>
      <x:c r="J32" s="157" t="str">
        <x:v>Verified network access, notification permissions, correct device time, authenticator registration, and background-data settings.</x:v>
      </x:c>
      <x:c r="K32" s="157" t="str">
        <x:v>Authenticator registration refreshed and a test approval completed.</x:v>
      </x:c>
      <x:c r="L32" s="158" t="n">
        <x:v>46177</x:v>
      </x:c>
      <x:c r="M32" s="159" t="n">
        <x:f>IF(B32="","",IF(L32="",TODAY()-B32,L32-B32))</x:f>
        <x:v>3</x:v>
      </x:c>
      <x:c r="N32" s="160" t="n">
        <x:v>16.3</x:v>
      </x:c>
      <x:c r="O32" s="160" t="n">
        <x:f>IFERROR(VLOOKUP(G32,'Lists'!$F$2:$G$5,2,FALSE),"")</x:f>
        <x:v>24</x:v>
      </x:c>
      <x:c r="P32" s="157" t="str">
        <x:f>IF(N32="","",IF(N32&lt;=O32,"Met","Missed"))</x:f>
        <x:v>Met</x:v>
      </x:c>
    </x:row>
    <x:row r="33" ht="42" customHeight="1">
      <x:c r="A33" s="153" t="str">
        <x:v>INC-1031</x:v>
      </x:c>
      <x:c r="B33" s="154" t="n">
        <x:v>46175</x:v>
      </x:c>
      <x:c r="C33" s="157" t="str">
        <x:v>Maria Lopez</x:v>
      </x:c>
      <x:c r="D33" s="157" t="str">
        <x:v>Front Desk</x:v>
      </x:c>
      <x:c r="E33" s="157" t="str">
        <x:v>Network</x:v>
      </x:c>
      <x:c r="F33" s="157" t="str">
        <x:v>CORP-LT-201 cannot connect to the secure staff Wi-Fi in Main Lobby.</x:v>
      </x:c>
      <x:c r="G33" s="303" t="str">
        <x:v>High</x:v>
      </x:c>
      <x:c r="H33" s="304" t="str">
        <x:v>Closed</x:v>
      </x:c>
      <x:c r="I33" s="305" t="str">
        <x:v>Priya Shah</x:v>
      </x:c>
      <x:c r="J33" s="157" t="str">
        <x:v>Confirmed the outage was limited to one device, verified airplane mode was off, renewed the IP configuration, forgot the saved network, and reconnected with approved credentials.</x:v>
      </x:c>
      <x:c r="K33" s="157" t="str">
        <x:v>Network access was restored and two internal resources loaded successfully.</x:v>
      </x:c>
      <x:c r="L33" s="158" t="n">
        <x:v>46176</x:v>
      </x:c>
      <x:c r="M33" s="159" t="n">
        <x:f>IF(B33="","",IF(L33="",TODAY()-B33,L33-B33))</x:f>
        <x:v>1</x:v>
      </x:c>
      <x:c r="N33" s="160" t="n">
        <x:v>0.8</x:v>
      </x:c>
      <x:c r="O33" s="160" t="n">
        <x:f>IFERROR(VLOOKUP(G33,'Lists'!$F$2:$G$5,2,FALSE),"")</x:f>
        <x:v>4</x:v>
      </x:c>
      <x:c r="P33" s="157" t="str">
        <x:f>IF(N33="","",IF(N33&lt;=O33,"Met","Missed"))</x:f>
        <x:v>Met</x:v>
      </x:c>
    </x:row>
    <x:row r="34" ht="42" customHeight="1">
      <x:c r="A34" s="153" t="str">
        <x:v>INC-1032</x:v>
      </x:c>
      <x:c r="B34" s="154" t="n">
        <x:v>46176</x:v>
      </x:c>
      <x:c r="C34" s="157" t="str">
        <x:v>Noah Thompson</x:v>
      </x:c>
      <x:c r="D34" s="157" t="str">
        <x:v>Human Resources</x:v>
      </x:c>
      <x:c r="E34" s="157" t="str">
        <x:v>Account Access</x:v>
      </x:c>
      <x:c r="F34" s="157" t="str">
        <x:v>Noah Thompson is locked out after repeated sign-in attempts.</x:v>
      </x:c>
      <x:c r="G34" s="303" t="str">
        <x:v>Medium</x:v>
      </x:c>
      <x:c r="H34" s="304" t="str">
        <x:v>Closed</x:v>
      </x:c>
      <x:c r="I34" s="305" t="str">
        <x:v>Marcus Brown</x:v>
      </x:c>
      <x:c r="J34" s="157" t="str">
        <x:v>Verified the requester's identity, reviewed the lockout message, checked account status, and followed the password-reset procedure.</x:v>
      </x:c>
      <x:c r="K34" s="157" t="str">
        <x:v>Account unlocked, temporary password issued, and successful sign-in confirmed.</x:v>
      </x:c>
      <x:c r="L34" s="158" t="n">
        <x:v>46178</x:v>
      </x:c>
      <x:c r="M34" s="159" t="n">
        <x:f>IF(B34="","",IF(L34="",TODAY()-B34,L34-B34))</x:f>
        <x:v>2</x:v>
      </x:c>
      <x:c r="N34" s="160" t="n">
        <x:v>2.6</x:v>
      </x:c>
      <x:c r="O34" s="160" t="n">
        <x:f>IFERROR(VLOOKUP(G34,'Lists'!$F$2:$G$5,2,FALSE),"")</x:f>
        <x:v>8</x:v>
      </x:c>
      <x:c r="P34" s="157" t="str">
        <x:f>IF(N34="","",IF(N34&lt;=O34,"Met","Missed"))</x:f>
        <x:v>Met</x:v>
      </x:c>
    </x:row>
    <x:row r="35" ht="42" customHeight="1">
      <x:c r="A35" s="153" t="str">
        <x:v>INC-1033</x:v>
      </x:c>
      <x:c r="B35" s="154" t="n">
        <x:v>46177</x:v>
      </x:c>
      <x:c r="C35" s="157" t="str">
        <x:v>Mia Hall</x:v>
      </x:c>
      <x:c r="D35" s="157" t="str">
        <x:v>Housekeeping</x:v>
      </x:c>
      <x:c r="E35" s="157" t="str">
        <x:v>Software</x:v>
      </x:c>
      <x:c r="F35" s="157" t="str">
        <x:v>Microsoft Excel freezes on CORP-LT-215 when opening an operations report.</x:v>
      </x:c>
      <x:c r="G35" s="303" t="str">
        <x:v>Medium</x:v>
      </x:c>
      <x:c r="H35" s="304" t="str">
        <x:v>Closed</x:v>
      </x:c>
      <x:c r="I35" s="305" t="str">
        <x:v>Andres Camacho</x:v>
      </x:c>
      <x:c r="J35" s="157" t="str">
        <x:v>Tested another workbook, checked available storage, ended the stuck process, installed pending updates, and ran an Office quick repair.</x:v>
      </x:c>
      <x:c r="K35" s="157" t="str">
        <x:v>The report opened normally after repair and a restart.</x:v>
      </x:c>
      <x:c r="L35" s="158" t="n">
        <x:v>46179</x:v>
      </x:c>
      <x:c r="M35" s="159" t="n">
        <x:f>IF(B35="","",IF(L35="",TODAY()-B35,L35-B35))</x:f>
        <x:v>2</x:v>
      </x:c>
      <x:c r="N35" s="160" t="n">
        <x:v>8.5</x:v>
      </x:c>
      <x:c r="O35" s="160" t="n">
        <x:f>IFERROR(VLOOKUP(G35,'Lists'!$F$2:$G$5,2,FALSE),"")</x:f>
        <x:v>8</x:v>
      </x:c>
      <x:c r="P35" s="157" t="str">
        <x:f>IF(N35="","",IF(N35&lt;=O35,"Met","Missed"))</x:f>
        <x:v>Missed</x:v>
      </x:c>
    </x:row>
    <x:row r="36" ht="42" customHeight="1">
      <x:c r="A36" s="153" t="str">
        <x:v>INC-1034</x:v>
      </x:c>
      <x:c r="B36" s="154" t="n">
        <x:v>46178</x:v>
      </x:c>
      <x:c r="C36" s="157" t="str">
        <x:v>Mateo Green</x:v>
      </x:c>
      <x:c r="D36" s="157" t="str">
        <x:v>Food &amp; Beverage</x:v>
      </x:c>
      <x:c r="E36" s="157" t="str">
        <x:v>Printer</x:v>
      </x:c>
      <x:c r="F36" s="157" t="str">
        <x:v>Shared printer for Food &amp; Beverage shows offline and jobs remain queued.</x:v>
      </x:c>
      <x:c r="G36" s="303" t="str">
        <x:v>Low</x:v>
      </x:c>
      <x:c r="H36" s="304" t="str">
        <x:v>Closed</x:v>
      </x:c>
      <x:c r="I36" s="305" t="str">
        <x:v>Jordan Lee</x:v>
      </x:c>
      <x:c r="J36" s="157" t="str">
        <x:v>Checked power, paper, network connectivity, and the print queue; restarted the Print Spooler service and re-added the printer by IP address.</x:v>
      </x:c>
      <x:c r="K36" s="157" t="str">
        <x:v>Queue cleared and a test page printed successfully.</x:v>
      </x:c>
      <x:c r="L36" s="158" t="n">
        <x:v>46181</x:v>
      </x:c>
      <x:c r="M36" s="159" t="n">
        <x:f>IF(B36="","",IF(L36="",TODAY()-B36,L36-B36))</x:f>
        <x:v>3</x:v>
      </x:c>
      <x:c r="N36" s="160" t="n">
        <x:v>13.4</x:v>
      </x:c>
      <x:c r="O36" s="160" t="n">
        <x:f>IFERROR(VLOOKUP(G36,'Lists'!$F$2:$G$5,2,FALSE),"")</x:f>
        <x:v>24</x:v>
      </x:c>
      <x:c r="P36" s="157" t="str">
        <x:f>IF(N36="","",IF(N36&lt;=O36,"Met","Missed"))</x:f>
        <x:v>Met</x:v>
      </x:c>
    </x:row>
    <x:row r="37" ht="42" customHeight="1">
      <x:c r="A37" s="153" t="str">
        <x:v>INC-1035</x:v>
      </x:c>
      <x:c r="B37" s="154" t="n">
        <x:v>46179</x:v>
      </x:c>
      <x:c r="C37" s="157" t="str">
        <x:v>Aria Roberts</x:v>
      </x:c>
      <x:c r="D37" s="157" t="str">
        <x:v>Management</x:v>
      </x:c>
      <x:c r="E37" s="157" t="str">
        <x:v>Hardware</x:v>
      </x:c>
      <x:c r="F37" s="157" t="str">
        <x:v>CORP-LT-229 is slow after startup and applications take several minutes to open.</x:v>
      </x:c>
      <x:c r="G37" s="303" t="str">
        <x:v>Medium</x:v>
      </x:c>
      <x:c r="H37" s="304" t="str">
        <x:v>Closed</x:v>
      </x:c>
      <x:c r="I37" s="305" t="str">
        <x:v>Priya Shah</x:v>
      </x:c>
      <x:c r="J37" s="157" t="str">
        <x:v>Reviewed startup applications, checked free disk space and Task Manager utilization, installed updates, and completed an approved malware scan.</x:v>
      </x:c>
      <x:c r="K37" s="157" t="str">
        <x:v>Startup performance improved and normal application response was verified.</x:v>
      </x:c>
      <x:c r="L37" s="158" t="n">
        <x:v>46181</x:v>
      </x:c>
      <x:c r="M37" s="159" t="n">
        <x:f>IF(B37="","",IF(L37="",TODAY()-B37,L37-B37))</x:f>
        <x:v>2</x:v>
      </x:c>
      <x:c r="N37" s="160" t="n">
        <x:v>5.4</x:v>
      </x:c>
      <x:c r="O37" s="160" t="n">
        <x:f>IFERROR(VLOOKUP(G37,'Lists'!$F$2:$G$5,2,FALSE),"")</x:f>
        <x:v>8</x:v>
      </x:c>
      <x:c r="P37" s="157" t="str">
        <x:f>IF(N37="","",IF(N37&lt;=O37,"Met","Missed"))</x:f>
        <x:v>Met</x:v>
      </x:c>
    </x:row>
    <x:row r="38" ht="42" customHeight="1">
      <x:c r="A38" s="153" t="str">
        <x:v>INC-1036</x:v>
      </x:c>
      <x:c r="B38" s="154" t="n">
        <x:v>46180</x:v>
      </x:c>
      <x:c r="C38" s="157" t="str">
        <x:v>David Kim</x:v>
      </x:c>
      <x:c r="D38" s="157" t="str">
        <x:v>Guest Services</x:v>
      </x:c>
      <x:c r="E38" s="157" t="str">
        <x:v>Security</x:v>
      </x:c>
      <x:c r="F38" s="157" t="str">
        <x:v>David Kim reported a suspicious email requesting password verification.</x:v>
      </x:c>
      <x:c r="G38" s="303" t="str">
        <x:v>Critical</x:v>
      </x:c>
      <x:c r="H38" s="304" t="str">
        <x:v>Closed</x:v>
      </x:c>
      <x:c r="I38" s="305" t="str">
        <x:v>Marcus Brown</x:v>
      </x:c>
      <x:c r="J38" s="157" t="str">
        <x:v>Instructed the user not to click or reply, captured sender and subject details, checked whether a link was opened, and escalated the message for security review.</x:v>
      </x:c>
      <x:c r="K38" s="157" t="str">
        <x:v>Message quarantined, account activity reviewed, and the user completed phishing guidance.</x:v>
      </x:c>
      <x:c r="L38" s="158" t="n">
        <x:v>46181</x:v>
      </x:c>
      <x:c r="M38" s="159" t="n">
        <x:f>IF(B38="","",IF(L38="",TODAY()-B38,L38-B38))</x:f>
        <x:v>1</x:v>
      </x:c>
      <x:c r="N38" s="160" t="n">
        <x:v>0.2</x:v>
      </x:c>
      <x:c r="O38" s="160" t="n">
        <x:f>IFERROR(VLOOKUP(G38,'Lists'!$F$2:$G$5,2,FALSE),"")</x:f>
        <x:v>1</x:v>
      </x:c>
      <x:c r="P38" s="157" t="str">
        <x:f>IF(N38="","",IF(N38&lt;=O38,"Met","Missed"))</x:f>
        <x:v>Met</x:v>
      </x:c>
    </x:row>
    <x:row r="39" ht="42" customHeight="1">
      <x:c r="A39" s="153" t="str">
        <x:v>INC-1037</x:v>
      </x:c>
      <x:c r="B39" s="154" t="n">
        <x:v>46181</x:v>
      </x:c>
      <x:c r="C39" s="157" t="str">
        <x:v>Isabella Moore</x:v>
      </x:c>
      <x:c r="D39" s="157" t="str">
        <x:v>Reservations</x:v>
      </x:c>
      <x:c r="E39" s="157" t="str">
        <x:v>Email</x:v>
      </x:c>
      <x:c r="F39" s="157" t="str">
        <x:v>Outlook on CORP-LT-213 is not syncing new messages.</x:v>
      </x:c>
      <x:c r="G39" s="303" t="str">
        <x:v>Medium</x:v>
      </x:c>
      <x:c r="H39" s="304" t="str">
        <x:v>Closed</x:v>
      </x:c>
      <x:c r="I39" s="305" t="str">
        <x:v>Andres Camacho</x:v>
      </x:c>
      <x:c r="J39" s="157" t="str">
        <x:v>Verified internet access and mailbox availability, checked Work Offline status, restarted Outlook, recreated the local profile, and tested send/receive.</x:v>
      </x:c>
      <x:c r="K39" s="157" t="str">
        <x:v>Mailbox synchronization resumed and a test message was delivered.</x:v>
      </x:c>
      <x:c r="L39" s="158" t="n">
        <x:v>46183</x:v>
      </x:c>
      <x:c r="M39" s="159" t="n">
        <x:f>IF(B39="","",IF(L39="",TODAY()-B39,L39-B39))</x:f>
        <x:v>2</x:v>
      </x:c>
      <x:c r="N39" s="160" t="n">
        <x:v>2.6</x:v>
      </x:c>
      <x:c r="O39" s="160" t="n">
        <x:f>IFERROR(VLOOKUP(G39,'Lists'!$F$2:$G$5,2,FALSE),"")</x:f>
        <x:v>8</x:v>
      </x:c>
      <x:c r="P39" s="157" t="str">
        <x:f>IF(N39="","",IF(N39&lt;=O39,"Met","Missed"))</x:f>
        <x:v>Met</x:v>
      </x:c>
    </x:row>
    <x:row r="40" ht="42" customHeight="1">
      <x:c r="A40" s="153" t="str">
        <x:v>INC-1038</x:v>
      </x:c>
      <x:c r="B40" s="154" t="n">
        <x:v>46182</x:v>
      </x:c>
      <x:c r="C40" s="157" t="str">
        <x:v>Elijah Wright</x:v>
      </x:c>
      <x:c r="D40" s="157" t="str">
        <x:v>Finance</x:v>
      </x:c>
      <x:c r="E40" s="157" t="str">
        <x:v>VPN</x:v>
      </x:c>
      <x:c r="F40" s="157" t="str">
        <x:v>Elijah Wright receives an authentication error while connecting to the company VPN.</x:v>
      </x:c>
      <x:c r="G40" s="303" t="str">
        <x:v>High</x:v>
      </x:c>
      <x:c r="H40" s="304" t="str">
        <x:v>Closed</x:v>
      </x:c>
      <x:c r="I40" s="305" t="str">
        <x:v>Jordan Lee</x:v>
      </x:c>
      <x:c r="J40" s="157" t="str">
        <x:v>Confirmed internet connectivity, verified system time, checked the VPN profile, re-entered approved credentials, and renewed the MFA session.</x:v>
      </x:c>
      <x:c r="K40" s="157" t="str">
        <x:v>VPN tunnel connected and access to the internal portal was confirmed.</x:v>
      </x:c>
      <x:c r="L40" s="158" t="n">
        <x:v>46183</x:v>
      </x:c>
      <x:c r="M40" s="159" t="n">
        <x:f>IF(B40="","",IF(L40="",TODAY()-B40,L40-B40))</x:f>
        <x:v>1</x:v>
      </x:c>
      <x:c r="N40" s="160" t="n">
        <x:v>1.8</x:v>
      </x:c>
      <x:c r="O40" s="160" t="n">
        <x:f>IFERROR(VLOOKUP(G40,'Lists'!$F$2:$G$5,2,FALSE),"")</x:f>
        <x:v>4</x:v>
      </x:c>
      <x:c r="P40" s="157" t="str">
        <x:f>IF(N40="","",IF(N40&lt;=O40,"Met","Missed"))</x:f>
        <x:v>Met</x:v>
      </x:c>
    </x:row>
    <x:row r="41" ht="42" customHeight="1">
      <x:c r="A41" s="153" t="str">
        <x:v>INC-1039</x:v>
      </x:c>
      <x:c r="B41" s="154" t="n">
        <x:v>46183</x:v>
      </x:c>
      <x:c r="C41" s="157" t="str">
        <x:v>Sofia Campbell</x:v>
      </x:c>
      <x:c r="D41" s="157" t="str">
        <x:v>Front Desk</x:v>
      </x:c>
      <x:c r="E41" s="157" t="str">
        <x:v>Audio/Visual</x:v>
      </x:c>
      <x:c r="F41" s="157" t="str">
        <x:v>Conference room display has video but no audio before a scheduled event.</x:v>
      </x:c>
      <x:c r="G41" s="303" t="str">
        <x:v>High</x:v>
      </x:c>
      <x:c r="H41" s="304" t="str">
        <x:v>Closed</x:v>
      </x:c>
      <x:c r="I41" s="305" t="str">
        <x:v>Priya Shah</x:v>
      </x:c>
      <x:c r="J41" s="157" t="str">
        <x:v>Checked cable seating, display input, Windows output device, application audio settings, and room-system volume; restarted the conference application.</x:v>
      </x:c>
      <x:c r="K41" s="157" t="str">
        <x:v>Room speakers produced clear audio during a test call.</x:v>
      </x:c>
      <x:c r="L41" s="158" t="n">
        <x:v>46184</x:v>
      </x:c>
      <x:c r="M41" s="159" t="n">
        <x:f>IF(B41="","",IF(L41="",TODAY()-B41,L41-B41))</x:f>
        <x:v>1</x:v>
      </x:c>
      <x:c r="N41" s="160" t="n">
        <x:v>6.5</x:v>
      </x:c>
      <x:c r="O41" s="160" t="n">
        <x:f>IFERROR(VLOOKUP(G41,'Lists'!$F$2:$G$5,2,FALSE),"")</x:f>
        <x:v>4</x:v>
      </x:c>
      <x:c r="P41" s="157" t="str">
        <x:f>IF(N41="","",IF(N41&lt;=O41,"Met","Missed"))</x:f>
        <x:v>Missed</x:v>
      </x:c>
    </x:row>
    <x:row r="42" ht="42" customHeight="1">
      <x:c r="A42" s="153" t="str">
        <x:v>INC-1040</x:v>
      </x:c>
      <x:c r="B42" s="154" t="n">
        <x:v>46184</x:v>
      </x:c>
      <x:c r="C42" s="157" t="str">
        <x:v>Eric Wilson</x:v>
      </x:c>
      <x:c r="D42" s="157" t="str">
        <x:v>Maintenance</x:v>
      </x:c>
      <x:c r="E42" s="157" t="str">
        <x:v>Mobile Device</x:v>
      </x:c>
      <x:c r="F42" s="157" t="str">
        <x:v>Eric Wilson's work phone is not receiving the MFA approval prompt.</x:v>
      </x:c>
      <x:c r="G42" s="303" t="str">
        <x:v>Low</x:v>
      </x:c>
      <x:c r="H42" s="304" t="str">
        <x:v>Closed</x:v>
      </x:c>
      <x:c r="I42" s="305" t="str">
        <x:v>Marcus Brown</x:v>
      </x:c>
      <x:c r="J42" s="157" t="str">
        <x:v>Verified network access, notification permissions, correct device time, authenticator registration, and background-data settings.</x:v>
      </x:c>
      <x:c r="K42" s="157" t="str">
        <x:v>Authenticator registration refreshed and a test approval completed.</x:v>
      </x:c>
      <x:c r="L42" s="158" t="n">
        <x:v>46187</x:v>
      </x:c>
      <x:c r="M42" s="159" t="n">
        <x:f>IF(B42="","",IF(L42="",TODAY()-B42,L42-B42))</x:f>
        <x:v>3</x:v>
      </x:c>
      <x:c r="N42" s="160" t="n">
        <x:v>16.3</x:v>
      </x:c>
      <x:c r="O42" s="160" t="n">
        <x:f>IFERROR(VLOOKUP(G42,'Lists'!$F$2:$G$5,2,FALSE),"")</x:f>
        <x:v>24</x:v>
      </x:c>
      <x:c r="P42" s="157" t="str">
        <x:f>IF(N42="","",IF(N42&lt;=O42,"Met","Missed"))</x:f>
        <x:v>Met</x:v>
      </x:c>
    </x:row>
    <x:row r="43" ht="42" customHeight="1">
      <x:c r="A43" s="153" t="str">
        <x:v>INC-1041</x:v>
      </x:c>
      <x:c r="B43" s="154" t="n">
        <x:v>46185</x:v>
      </x:c>
      <x:c r="C43" s="157" t="str">
        <x:v>Ava Davis</x:v>
      </x:c>
      <x:c r="D43" s="157" t="str">
        <x:v>Security</x:v>
      </x:c>
      <x:c r="E43" s="157" t="str">
        <x:v>Network</x:v>
      </x:c>
      <x:c r="F43" s="157" t="str">
        <x:v>CORP-LT-211 cannot connect to the secure staff Wi-Fi in Security Desk.</x:v>
      </x:c>
      <x:c r="G43" s="303" t="str">
        <x:v>High</x:v>
      </x:c>
      <x:c r="H43" s="304" t="str">
        <x:v>Closed</x:v>
      </x:c>
      <x:c r="I43" s="305" t="str">
        <x:v>Andres Camacho</x:v>
      </x:c>
      <x:c r="J43" s="157" t="str">
        <x:v>Confirmed the outage was limited to one device, verified airplane mode was off, renewed the IP configuration, forgot the saved network, and reconnected with approved credentials.</x:v>
      </x:c>
      <x:c r="K43" s="157" t="str">
        <x:v>Network access was restored and two internal resources loaded successfully.</x:v>
      </x:c>
      <x:c r="L43" s="158" t="n">
        <x:v>46186</x:v>
      </x:c>
      <x:c r="M43" s="159" t="n">
        <x:f>IF(B43="","",IF(L43="",TODAY()-B43,L43-B43))</x:f>
        <x:v>1</x:v>
      </x:c>
      <x:c r="N43" s="160" t="n">
        <x:v>4.5</x:v>
      </x:c>
      <x:c r="O43" s="160" t="n">
        <x:f>IFERROR(VLOOKUP(G43,'Lists'!$F$2:$G$5,2,FALSE),"")</x:f>
        <x:v>4</x:v>
      </x:c>
      <x:c r="P43" s="157" t="str">
        <x:f>IF(N43="","",IF(N43&lt;=O43,"Met","Missed"))</x:f>
        <x:v>Missed</x:v>
      </x:c>
    </x:row>
    <x:row r="44" ht="42" customHeight="1">
      <x:c r="A44" s="153" t="str">
        <x:v>INC-1042</x:v>
      </x:c>
      <x:c r="B44" s="154" t="n">
        <x:v>46186</x:v>
      </x:c>
      <x:c r="C44" s="157" t="str">
        <x:v>Logan Hernandez</x:v>
      </x:c>
      <x:c r="D44" s="157" t="str">
        <x:v>Sales</x:v>
      </x:c>
      <x:c r="E44" s="157" t="str">
        <x:v>Account Access</x:v>
      </x:c>
      <x:c r="F44" s="157" t="str">
        <x:v>Logan Hernandez is locked out after repeated sign-in attempts.</x:v>
      </x:c>
      <x:c r="G44" s="303" t="str">
        <x:v>Medium</x:v>
      </x:c>
      <x:c r="H44" s="304" t="str">
        <x:v>Closed</x:v>
      </x:c>
      <x:c r="I44" s="305" t="str">
        <x:v>Jordan Lee</x:v>
      </x:c>
      <x:c r="J44" s="157" t="str">
        <x:v>Verified the requester's identity, reviewed the lockout message, checked account status, and followed the password-reset procedure.</x:v>
      </x:c>
      <x:c r="K44" s="157" t="str">
        <x:v>Account unlocked, temporary password issued, and successful sign-in confirmed.</x:v>
      </x:c>
      <x:c r="L44" s="158" t="n">
        <x:v>46188</x:v>
      </x:c>
      <x:c r="M44" s="159" t="n">
        <x:f>IF(B44="","",IF(L44="",TODAY()-B44,L44-B44))</x:f>
        <x:v>2</x:v>
      </x:c>
      <x:c r="N44" s="160" t="n">
        <x:v>2.6</x:v>
      </x:c>
      <x:c r="O44" s="160" t="n">
        <x:f>IFERROR(VLOOKUP(G44,'Lists'!$F$2:$G$5,2,FALSE),"")</x:f>
        <x:v>8</x:v>
      </x:c>
      <x:c r="P44" s="157" t="str">
        <x:f>IF(N44="","",IF(N44&lt;=O44,"Met","Missed"))</x:f>
        <x:v>Met</x:v>
      </x:c>
    </x:row>
    <x:row r="45" ht="42" customHeight="1">
      <x:c r="A45" s="153" t="str">
        <x:v>INC-1043</x:v>
      </x:c>
      <x:c r="B45" s="154" t="n">
        <x:v>46187</x:v>
      </x:c>
      <x:c r="C45" s="157" t="str">
        <x:v>Luna Nelson</x:v>
      </x:c>
      <x:c r="D45" s="157" t="str">
        <x:v>IT Operations</x:v>
      </x:c>
      <x:c r="E45" s="157" t="str">
        <x:v>Software</x:v>
      </x:c>
      <x:c r="F45" s="157" t="str">
        <x:v>Microsoft Excel freezes on CORP-LT-225 when opening an operations report.</x:v>
      </x:c>
      <x:c r="G45" s="303" t="str">
        <x:v>Medium</x:v>
      </x:c>
      <x:c r="H45" s="304" t="str">
        <x:v>Closed</x:v>
      </x:c>
      <x:c r="I45" s="305" t="str">
        <x:v>Priya Shah</x:v>
      </x:c>
      <x:c r="J45" s="157" t="str">
        <x:v>Tested another workbook, checked available storage, ended the stuck process, installed pending updates, and ran an Office quick repair.</x:v>
      </x:c>
      <x:c r="K45" s="157" t="str">
        <x:v>The report opened normally after repair and a restart.</x:v>
      </x:c>
      <x:c r="L45" s="158" t="n">
        <x:v>46189</x:v>
      </x:c>
      <x:c r="M45" s="159" t="n">
        <x:f>IF(B45="","",IF(L45="",TODAY()-B45,L45-B45))</x:f>
        <x:v>2</x:v>
      </x:c>
      <x:c r="N45" s="160" t="n">
        <x:v>3.5</x:v>
      </x:c>
      <x:c r="O45" s="160" t="n">
        <x:f>IFERROR(VLOOKUP(G45,'Lists'!$F$2:$G$5,2,FALSE),"")</x:f>
        <x:v>8</x:v>
      </x:c>
      <x:c r="P45" s="157" t="str">
        <x:f>IF(N45="","",IF(N45&lt;=O45,"Met","Missed"))</x:f>
        <x:v>Met</x:v>
      </x:c>
    </x:row>
    <x:row r="46" ht="42" customHeight="1">
      <x:c r="A46" s="153" t="str">
        <x:v>INC-1044</x:v>
      </x:c>
      <x:c r="B46" s="154" t="n">
        <x:v>46188</x:v>
      </x:c>
      <x:c r="C46" s="157" t="str">
        <x:v>James Carter</x:v>
      </x:c>
      <x:c r="D46" s="157" t="str">
        <x:v>Housekeeping</x:v>
      </x:c>
      <x:c r="E46" s="157" t="str">
        <x:v>Printer</x:v>
      </x:c>
      <x:c r="F46" s="157" t="str">
        <x:v>Shared printer for Housekeeping shows offline and jobs remain queued.</x:v>
      </x:c>
      <x:c r="G46" s="303" t="str">
        <x:v>Low</x:v>
      </x:c>
      <x:c r="H46" s="304" t="str">
        <x:v>Closed</x:v>
      </x:c>
      <x:c r="I46" s="305" t="str">
        <x:v>Marcus Brown</x:v>
      </x:c>
      <x:c r="J46" s="157" t="str">
        <x:v>Checked power, paper, network connectivity, and the print queue; restarted the Print Spooler service and re-added the printer by IP address.</x:v>
      </x:c>
      <x:c r="K46" s="157" t="str">
        <x:v>Queue cleared and a test page printed successfully.</x:v>
      </x:c>
      <x:c r="L46" s="158" t="n">
        <x:v>46191</x:v>
      </x:c>
      <x:c r="M46" s="159" t="n">
        <x:f>IF(B46="","",IF(L46="",TODAY()-B46,L46-B46))</x:f>
        <x:v>3</x:v>
      </x:c>
      <x:c r="N46" s="160" t="n">
        <x:v>13.4</x:v>
      </x:c>
      <x:c r="O46" s="160" t="n">
        <x:f>IFERROR(VLOOKUP(G46,'Lists'!$F$2:$G$5,2,FALSE),"")</x:f>
        <x:v>24</x:v>
      </x:c>
      <x:c r="P46" s="157" t="str">
        <x:f>IF(N46="","",IF(N46&lt;=O46,"Met","Missed"))</x:f>
        <x:v>Met</x:v>
      </x:c>
    </x:row>
    <x:row r="47" ht="42" customHeight="1">
      <x:c r="A47" s="153" t="str">
        <x:v>INC-1045</x:v>
      </x:c>
      <x:c r="B47" s="154" t="n">
        <x:v>46189</x:v>
      </x:c>
      <x:c r="C47" s="157" t="str">
        <x:v>Sophia Ramirez</x:v>
      </x:c>
      <x:c r="D47" s="157" t="str">
        <x:v>Food &amp; Beverage</x:v>
      </x:c>
      <x:c r="E47" s="157" t="str">
        <x:v>Hardware</x:v>
      </x:c>
      <x:c r="F47" s="157" t="str">
        <x:v>CORP-LT-209 is slow after startup and applications take several minutes to open.</x:v>
      </x:c>
      <x:c r="G47" s="303" t="str">
        <x:v>Medium</x:v>
      </x:c>
      <x:c r="H47" s="304" t="str">
        <x:v>Closed</x:v>
      </x:c>
      <x:c r="I47" s="305" t="str">
        <x:v>Andres Camacho</x:v>
      </x:c>
      <x:c r="J47" s="157" t="str">
        <x:v>Reviewed startup applications, checked free disk space and Task Manager utilization, installed updates, and completed an approved malware scan.</x:v>
      </x:c>
      <x:c r="K47" s="157" t="str">
        <x:v>Startup performance improved and normal application response was verified.</x:v>
      </x:c>
      <x:c r="L47" s="158" t="n">
        <x:v>46191</x:v>
      </x:c>
      <x:c r="M47" s="159" t="n">
        <x:f>IF(B47="","",IF(L47="",TODAY()-B47,L47-B47))</x:f>
        <x:v>2</x:v>
      </x:c>
      <x:c r="N47" s="160" t="n">
        <x:v>5.4</x:v>
      </x:c>
      <x:c r="O47" s="160" t="n">
        <x:f>IFERROR(VLOOKUP(G47,'Lists'!$F$2:$G$5,2,FALSE),"")</x:f>
        <x:v>8</x:v>
      </x:c>
      <x:c r="P47" s="157" t="str">
        <x:f>IF(N47="","",IF(N47&lt;=O47,"Met","Missed"))</x:f>
        <x:v>Met</x:v>
      </x:c>
    </x:row>
    <x:row r="48" ht="42" customHeight="1">
      <x:c r="A48" s="153" t="str">
        <x:v>INC-1046</x:v>
      </x:c>
      <x:c r="B48" s="154" t="n">
        <x:v>46190</x:v>
      </x:c>
      <x:c r="C48" s="157" t="str">
        <x:v>Lucas Allen</x:v>
      </x:c>
      <x:c r="D48" s="157" t="str">
        <x:v>Management</x:v>
      </x:c>
      <x:c r="E48" s="157" t="str">
        <x:v>Security</x:v>
      </x:c>
      <x:c r="F48" s="157" t="str">
        <x:v>Lucas Allen reported a suspicious email requesting password verification.</x:v>
      </x:c>
      <x:c r="G48" s="303" t="str">
        <x:v>Critical</x:v>
      </x:c>
      <x:c r="H48" s="304" t="str">
        <x:v>Closed</x:v>
      </x:c>
      <x:c r="I48" s="305" t="str">
        <x:v>Jordan Lee</x:v>
      </x:c>
      <x:c r="J48" s="157" t="str">
        <x:v>Instructed the user not to click or reply, captured sender and subject details, checked whether a link was opened, and escalated the message for security review.</x:v>
      </x:c>
      <x:c r="K48" s="157" t="str">
        <x:v>Message quarantined, account activity reviewed, and the user completed phishing guidance.</x:v>
      </x:c>
      <x:c r="L48" s="158" t="n">
        <x:v>46191</x:v>
      </x:c>
      <x:c r="M48" s="159" t="n">
        <x:f>IF(B48="","",IF(L48="",TODAY()-B48,L48-B48))</x:f>
        <x:v>1</x:v>
      </x:c>
      <x:c r="N48" s="160" t="n">
        <x:v>0.2</x:v>
      </x:c>
      <x:c r="O48" s="160" t="n">
        <x:f>IFERROR(VLOOKUP(G48,'Lists'!$F$2:$G$5,2,FALSE),"")</x:f>
        <x:v>1</x:v>
      </x:c>
      <x:c r="P48" s="157" t="str">
        <x:f>IF(N48="","",IF(N48&lt;=O48,"Met","Missed"))</x:f>
        <x:v>Met</x:v>
      </x:c>
    </x:row>
    <x:row r="49" ht="42" customHeight="1">
      <x:c r="A49" s="153" t="str">
        <x:v>INC-1047</x:v>
      </x:c>
      <x:c r="B49" s="154" t="n">
        <x:v>46191</x:v>
      </x:c>
      <x:c r="C49" s="157" t="str">
        <x:v>Camila Baker</x:v>
      </x:c>
      <x:c r="D49" s="157" t="str">
        <x:v>Events</x:v>
      </x:c>
      <x:c r="E49" s="157" t="str">
        <x:v>Email</x:v>
      </x:c>
      <x:c r="F49" s="157" t="str">
        <x:v>Outlook on CORP-LT-223 is not syncing new messages.</x:v>
      </x:c>
      <x:c r="G49" s="303" t="str">
        <x:v>Medium</x:v>
      </x:c>
      <x:c r="H49" s="304" t="str">
        <x:v>Closed</x:v>
      </x:c>
      <x:c r="I49" s="305" t="str">
        <x:v>Priya Shah</x:v>
      </x:c>
      <x:c r="J49" s="157" t="str">
        <x:v>Verified internet access and mailbox availability, checked Work Offline status, restarted Outlook, recreated the local profile, and tested send/receive.</x:v>
      </x:c>
      <x:c r="K49" s="157" t="str">
        <x:v>Mailbox synchronization resumed and a test message was delivered.</x:v>
      </x:c>
      <x:c r="L49" s="158" t="n">
        <x:v>46193</x:v>
      </x:c>
      <x:c r="M49" s="159" t="n">
        <x:f>IF(B49="","",IF(L49="",TODAY()-B49,L49-B49))</x:f>
        <x:v>2</x:v>
      </x:c>
      <x:c r="N49" s="160" t="n">
        <x:v>2.6</x:v>
      </x:c>
      <x:c r="O49" s="160" t="n">
        <x:f>IFERROR(VLOOKUP(G49,'Lists'!$F$2:$G$5,2,FALSE),"")</x:f>
        <x:v>8</x:v>
      </x:c>
      <x:c r="P49" s="157" t="str">
        <x:f>IF(N49="","",IF(N49&lt;=O49,"Met","Missed"))</x:f>
        <x:v>Met</x:v>
      </x:c>
    </x:row>
    <x:row r="50" ht="42" customHeight="1">
      <x:c r="A50" s="153" t="str">
        <x:v>INC-1048</x:v>
      </x:c>
      <x:c r="B50" s="154" t="n">
        <x:v>46192</x:v>
      </x:c>
      <x:c r="C50" s="157" t="str">
        <x:v>Daniel Turner</x:v>
      </x:c>
      <x:c r="D50" s="157" t="str">
        <x:v>Maintenance</x:v>
      </x:c>
      <x:c r="E50" s="157" t="str">
        <x:v>VPN</x:v>
      </x:c>
      <x:c r="F50" s="157" t="str">
        <x:v>Daniel Turner receives an authentication error while connecting to the company VPN.</x:v>
      </x:c>
      <x:c r="G50" s="303" t="str">
        <x:v>High</x:v>
      </x:c>
      <x:c r="H50" s="304" t="str">
        <x:v>Closed</x:v>
      </x:c>
      <x:c r="I50" s="305" t="str">
        <x:v>Marcus Brown</x:v>
      </x:c>
      <x:c r="J50" s="157" t="str">
        <x:v>Confirmed internet connectivity, verified system time, checked the VPN profile, re-entered approved credentials, and renewed the MFA session.</x:v>
      </x:c>
      <x:c r="K50" s="157" t="str">
        <x:v>VPN tunnel connected and access to the internal portal was confirmed.</x:v>
      </x:c>
      <x:c r="L50" s="158" t="n">
        <x:v>46193</x:v>
      </x:c>
      <x:c r="M50" s="159" t="n">
        <x:f>IF(B50="","",IF(L50="",TODAY()-B50,L50-B50))</x:f>
        <x:v>1</x:v>
      </x:c>
      <x:c r="N50" s="160" t="n">
        <x:v>1.8</x:v>
      </x:c>
      <x:c r="O50" s="160" t="n">
        <x:f>IFERROR(VLOOKUP(G50,'Lists'!$F$2:$G$5,2,FALSE),"")</x:f>
        <x:v>4</x:v>
      </x:c>
      <x:c r="P50" s="157" t="str">
        <x:f>IF(N50="","",IF(N50&lt;=O50,"Met","Missed"))</x:f>
        <x:v>Met</x:v>
      </x:c>
    </x:row>
    <x:row r="51" ht="42" customHeight="1">
      <x:c r="A51" s="153" t="str">
        <x:v>INC-1049</x:v>
      </x:c>
      <x:c r="B51" s="154" t="n">
        <x:v>46193</x:v>
      </x:c>
      <x:c r="C51" s="157" t="str">
        <x:v>Olivia Martin</x:v>
      </x:c>
      <x:c r="D51" s="157" t="str">
        <x:v>Finance</x:v>
      </x:c>
      <x:c r="E51" s="157" t="str">
        <x:v>Audio/Visual</x:v>
      </x:c>
      <x:c r="F51" s="157" t="str">
        <x:v>Conference room display has video but no audio before a scheduled event.</x:v>
      </x:c>
      <x:c r="G51" s="303" t="str">
        <x:v>High</x:v>
      </x:c>
      <x:c r="H51" s="304" t="str">
        <x:v>Closed</x:v>
      </x:c>
      <x:c r="I51" s="305" t="str">
        <x:v>Andres Camacho</x:v>
      </x:c>
      <x:c r="J51" s="157" t="str">
        <x:v>Checked cable seating, display input, Windows output device, application audio settings, and room-system volume; restarted the conference application.</x:v>
      </x:c>
      <x:c r="K51" s="157" t="str">
        <x:v>Room speakers produced clear audio during a test call.</x:v>
      </x:c>
      <x:c r="L51" s="158" t="n">
        <x:v>46194</x:v>
      </x:c>
      <x:c r="M51" s="159" t="n">
        <x:f>IF(B51="","",IF(L51="",TODAY()-B51,L51-B51))</x:f>
        <x:v>1</x:v>
      </x:c>
      <x:c r="N51" s="160" t="n">
        <x:v>4.5</x:v>
      </x:c>
      <x:c r="O51" s="160" t="n">
        <x:f>IFERROR(VLOOKUP(G51,'Lists'!$F$2:$G$5,2,FALSE),"")</x:f>
        <x:v>4</x:v>
      </x:c>
      <x:c r="P51" s="157" t="str">
        <x:f>IF(N51="","",IF(N51&lt;=O51,"Met","Missed"))</x:f>
        <x:v>Missed</x:v>
      </x:c>
    </x:row>
    <x:row r="52" ht="42" customHeight="1">
      <x:c r="A52" s="153" t="str">
        <x:v>INC-1050</x:v>
      </x:c>
      <x:c r="B52" s="154" t="n">
        <x:v>46194</x:v>
      </x:c>
      <x:c r="C52" s="157" t="str">
        <x:v>Mason Clark</x:v>
      </x:c>
      <x:c r="D52" s="157" t="str">
        <x:v>Front Desk</x:v>
      </x:c>
      <x:c r="E52" s="157" t="str">
        <x:v>Mobile Device</x:v>
      </x:c>
      <x:c r="F52" s="157" t="str">
        <x:v>Mason Clark's work phone is not receiving the MFA approval prompt.</x:v>
      </x:c>
      <x:c r="G52" s="303" t="str">
        <x:v>Low</x:v>
      </x:c>
      <x:c r="H52" s="304" t="str">
        <x:v>Closed</x:v>
      </x:c>
      <x:c r="I52" s="305" t="str">
        <x:v>Jordan Lee</x:v>
      </x:c>
      <x:c r="J52" s="157" t="str">
        <x:v>Verified network access, notification permissions, correct device time, authenticator registration, and background-data settings.</x:v>
      </x:c>
      <x:c r="K52" s="157" t="str">
        <x:v>Authenticator registration refreshed and a test approval completed.</x:v>
      </x:c>
      <x:c r="L52" s="158" t="n">
        <x:v>46197</x:v>
      </x:c>
      <x:c r="M52" s="159" t="n">
        <x:f>IF(B52="","",IF(L52="",TODAY()-B52,L52-B52))</x:f>
        <x:v>3</x:v>
      </x:c>
      <x:c r="N52" s="160" t="n">
        <x:v>16.3</x:v>
      </x:c>
      <x:c r="O52" s="160" t="n">
        <x:f>IFERROR(VLOOKUP(G52,'Lists'!$F$2:$G$5,2,FALSE),"")</x:f>
        <x:v>24</x:v>
      </x:c>
      <x:c r="P52" s="157" t="str">
        <x:f>IF(N52="","",IF(N52&lt;=O52,"Met","Missed"))</x:f>
        <x:v>Met</x:v>
      </x:c>
    </x:row>
    <x:row r="53" ht="42" customHeight="1">
      <x:c r="A53" s="153" t="str">
        <x:v>INC-1051</x:v>
      </x:c>
      <x:c r="B53" s="154" t="n">
        <x:v>46195</x:v>
      </x:c>
      <x:c r="C53" s="157" t="str">
        <x:v>Evelyn Scott</x:v>
      </x:c>
      <x:c r="D53" s="157" t="str">
        <x:v>Human Resources</x:v>
      </x:c>
      <x:c r="E53" s="157" t="str">
        <x:v>Network</x:v>
      </x:c>
      <x:c r="F53" s="157" t="str">
        <x:v>CORP-LT-221 cannot connect to the secure staff Wi-Fi in HR Office.</x:v>
      </x:c>
      <x:c r="G53" s="303" t="str">
        <x:v>High</x:v>
      </x:c>
      <x:c r="H53" s="304" t="str">
        <x:v>Closed</x:v>
      </x:c>
      <x:c r="I53" s="305" t="str">
        <x:v>Priya Shah</x:v>
      </x:c>
      <x:c r="J53" s="157" t="str">
        <x:v>Confirmed the outage was limited to one device, verified airplane mode was off, renewed the IP configuration, forgot the saved network, and reconnected with approved credentials.</x:v>
      </x:c>
      <x:c r="K53" s="157" t="str">
        <x:v>Network access was restored and two internal resources loaded successfully.</x:v>
      </x:c>
      <x:c r="L53" s="158" t="n">
        <x:v>46196</x:v>
      </x:c>
      <x:c r="M53" s="159" t="n">
        <x:f>IF(B53="","",IF(L53="",TODAY()-B53,L53-B53))</x:f>
        <x:v>1</x:v>
      </x:c>
      <x:c r="N53" s="160" t="n">
        <x:v>0.8</x:v>
      </x:c>
      <x:c r="O53" s="160" t="n">
        <x:f>IFERROR(VLOOKUP(G53,'Lists'!$F$2:$G$5,2,FALSE),"")</x:f>
        <x:v>4</x:v>
      </x:c>
      <x:c r="P53" s="157" t="str">
        <x:f>IF(N53="","",IF(N53&lt;=O53,"Met","Missed"))</x:f>
        <x:v>Met</x:v>
      </x:c>
    </x:row>
    <x:row r="54" ht="42" customHeight="1">
      <x:c r="A54" s="153" t="str">
        <x:v>INC-1052</x:v>
      </x:c>
      <x:c r="B54" s="154" t="n">
        <x:v>46196</x:v>
      </x:c>
      <x:c r="C54" s="157" t="str">
        <x:v>Jack Mitchell</x:v>
      </x:c>
      <x:c r="D54" s="157" t="str">
        <x:v>Housekeeping</x:v>
      </x:c>
      <x:c r="E54" s="157" t="str">
        <x:v>Account Access</x:v>
      </x:c>
      <x:c r="F54" s="157" t="str">
        <x:v>Jack Mitchell is locked out after repeated sign-in attempts.</x:v>
      </x:c>
      <x:c r="G54" s="303" t="str">
        <x:v>Medium</x:v>
      </x:c>
      <x:c r="H54" s="304" t="str">
        <x:v>Closed</x:v>
      </x:c>
      <x:c r="I54" s="305" t="str">
        <x:v>Marcus Brown</x:v>
      </x:c>
      <x:c r="J54" s="157" t="str">
        <x:v>Verified the requester's identity, reviewed the lockout message, checked account status, and followed the password-reset procedure.</x:v>
      </x:c>
      <x:c r="K54" s="157" t="str">
        <x:v>Account unlocked, temporary password issued, and successful sign-in confirmed.</x:v>
      </x:c>
      <x:c r="L54" s="158" t="n">
        <x:v>46198</x:v>
      </x:c>
      <x:c r="M54" s="159" t="n">
        <x:f>IF(B54="","",IF(L54="",TODAY()-B54,L54-B54))</x:f>
        <x:v>2</x:v>
      </x:c>
      <x:c r="N54" s="160" t="n">
        <x:v>2.6</x:v>
      </x:c>
      <x:c r="O54" s="160" t="n">
        <x:f>IFERROR(VLOOKUP(G54,'Lists'!$F$2:$G$5,2,FALSE),"")</x:f>
        <x:v>8</x:v>
      </x:c>
      <x:c r="P54" s="157" t="str">
        <x:f>IF(N54="","",IF(N54&lt;=O54,"Met","Missed"))</x:f>
        <x:v>Met</x:v>
      </x:c>
    </x:row>
    <x:row r="55" ht="42" customHeight="1">
      <x:c r="A55" s="153" t="str">
        <x:v>INC-1053</x:v>
      </x:c>
      <x:c r="B55" s="154" t="n">
        <x:v>46197</x:v>
      </x:c>
      <x:c r="C55" s="157" t="str">
        <x:v>Nina Patel</x:v>
      </x:c>
      <x:c r="D55" s="157" t="str">
        <x:v>Sales</x:v>
      </x:c>
      <x:c r="E55" s="157" t="str">
        <x:v>Software</x:v>
      </x:c>
      <x:c r="F55" s="157" t="str">
        <x:v>Microsoft Excel freezes on CORP-LT-205 when opening an operations report.</x:v>
      </x:c>
      <x:c r="G55" s="303" t="str">
        <x:v>Medium</x:v>
      </x:c>
      <x:c r="H55" s="304" t="str">
        <x:v>Resolved</x:v>
      </x:c>
      <x:c r="I55" s="305" t="str">
        <x:v>Andres Camacho</x:v>
      </x:c>
      <x:c r="J55" s="157" t="str">
        <x:v>Tested another workbook, checked available storage, ended the stuck process, installed pending updates, and ran an Office quick repair.</x:v>
      </x:c>
      <x:c r="K55" s="157" t="str">
        <x:v>The report opened normally after repair and a restart.</x:v>
      </x:c>
      <x:c r="L55" s="158" t="n">
        <x:v>46199</x:v>
      </x:c>
      <x:c r="M55" s="159" t="n">
        <x:f>IF(B55="","",IF(L55="",TODAY()-B55,L55-B55))</x:f>
        <x:v>2</x:v>
      </x:c>
      <x:c r="N55" s="160" t="n">
        <x:v>3.5</x:v>
      </x:c>
      <x:c r="O55" s="160" t="n">
        <x:f>IFERROR(VLOOKUP(G55,'Lists'!$F$2:$G$5,2,FALSE),"")</x:f>
        <x:v>8</x:v>
      </x:c>
      <x:c r="P55" s="157" t="str">
        <x:f>IF(N55="","",IF(N55&lt;=O55,"Met","Missed"))</x:f>
        <x:v>Met</x:v>
      </x:c>
    </x:row>
    <x:row r="56" ht="42" customHeight="1">
      <x:c r="A56" s="153" t="str">
        <x:v>INC-1054</x:v>
      </x:c>
      <x:c r="B56" s="154" t="n">
        <x:v>46198</x:v>
      </x:c>
      <x:c r="C56" s="157" t="str">
        <x:v>Ethan Brown</x:v>
      </x:c>
      <x:c r="D56" s="157" t="str">
        <x:v>IT Operations</x:v>
      </x:c>
      <x:c r="E56" s="157" t="str">
        <x:v>Printer</x:v>
      </x:c>
      <x:c r="F56" s="157" t="str">
        <x:v>Shared printer for IT Operations shows offline and jobs remain queued.</x:v>
      </x:c>
      <x:c r="G56" s="303" t="str">
        <x:v>Low</x:v>
      </x:c>
      <x:c r="H56" s="304" t="str">
        <x:v>Resolved</x:v>
      </x:c>
      <x:c r="I56" s="305" t="str">
        <x:v>Jordan Lee</x:v>
      </x:c>
      <x:c r="J56" s="157" t="str">
        <x:v>Checked power, paper, network connectivity, and the print queue; restarted the Print Spooler service and re-added the printer by IP address.</x:v>
      </x:c>
      <x:c r="K56" s="157" t="str">
        <x:v>Queue cleared and a test page printed successfully.</x:v>
      </x:c>
      <x:c r="L56" s="158" t="n">
        <x:v>46201</x:v>
      </x:c>
      <x:c r="M56" s="159" t="n">
        <x:f>IF(B56="","",IF(L56="",TODAY()-B56,L56-B56))</x:f>
        <x:v>3</x:v>
      </x:c>
      <x:c r="N56" s="160" t="n">
        <x:v>13.4</x:v>
      </x:c>
      <x:c r="O56" s="160" t="n">
        <x:f>IFERROR(VLOOKUP(G56,'Lists'!$F$2:$G$5,2,FALSE),"")</x:f>
        <x:v>24</x:v>
      </x:c>
      <x:c r="P56" s="157" t="str">
        <x:f>IF(N56="","",IF(N56&lt;=O56,"Met","Missed"))</x:f>
        <x:v>Met</x:v>
      </x:c>
    </x:row>
    <x:row r="57" ht="42" customHeight="1">
      <x:c r="A57" s="153" t="str">
        <x:v>INC-1055</x:v>
      </x:c>
      <x:c r="B57" s="154" t="n">
        <x:v>46199</x:v>
      </x:c>
      <x:c r="C57" s="157" t="str">
        <x:v>Harper King</x:v>
      </x:c>
      <x:c r="D57" s="157" t="str">
        <x:v>Guest Services</x:v>
      </x:c>
      <x:c r="E57" s="157" t="str">
        <x:v>Hardware</x:v>
      </x:c>
      <x:c r="F57" s="157" t="str">
        <x:v>CORP-LT-219 is slow after startup and applications take several minutes to open.</x:v>
      </x:c>
      <x:c r="G57" s="303" t="str">
        <x:v>Medium</x:v>
      </x:c>
      <x:c r="H57" s="304" t="str">
        <x:v>Resolved</x:v>
      </x:c>
      <x:c r="I57" s="305" t="str">
        <x:v>Priya Shah</x:v>
      </x:c>
      <x:c r="J57" s="157" t="str">
        <x:v>Reviewed startup applications, checked free disk space and Task Manager utilization, installed updates, and completed an approved malware scan.</x:v>
      </x:c>
      <x:c r="K57" s="157" t="str">
        <x:v>Startup performance improved and normal application response was verified.</x:v>
      </x:c>
      <x:c r="L57" s="158" t="n">
        <x:v>46201</x:v>
      </x:c>
      <x:c r="M57" s="159" t="n">
        <x:f>IF(B57="","",IF(L57="",TODAY()-B57,L57-B57))</x:f>
        <x:v>2</x:v>
      </x:c>
      <x:c r="N57" s="160" t="n">
        <x:v>5.4</x:v>
      </x:c>
      <x:c r="O57" s="160" t="n">
        <x:f>IFERROR(VLOOKUP(G57,'Lists'!$F$2:$G$5,2,FALSE),"")</x:f>
        <x:v>8</x:v>
      </x:c>
      <x:c r="P57" s="157" t="str">
        <x:f>IF(N57="","",IF(N57&lt;=O57,"Met","Missed"))</x:f>
        <x:v>Met</x:v>
      </x:c>
    </x:row>
    <x:row r="58" ht="42" customHeight="1">
      <x:c r="A58" s="153" t="str">
        <x:v>INC-1056</x:v>
      </x:c>
      <x:c r="B58" s="154" t="n">
        <x:v>46200</x:v>
      </x:c>
      <x:c r="C58" s="157" t="str">
        <x:v>Sebastian Hill</x:v>
      </x:c>
      <x:c r="D58" s="157" t="str">
        <x:v>Reservations</x:v>
      </x:c>
      <x:c r="E58" s="157" t="str">
        <x:v>Security</x:v>
      </x:c>
      <x:c r="F58" s="157" t="str">
        <x:v>Sebastian Hill reported a suspicious email requesting password verification.</x:v>
      </x:c>
      <x:c r="G58" s="303" t="str">
        <x:v>Critical</x:v>
      </x:c>
      <x:c r="H58" s="304" t="str">
        <x:v>Resolved</x:v>
      </x:c>
      <x:c r="I58" s="305" t="str">
        <x:v>Marcus Brown</x:v>
      </x:c>
      <x:c r="J58" s="157" t="str">
        <x:v>Instructed the user not to click or reply, captured sender and subject details, checked whether a link was opened, and escalated the message for security review.</x:v>
      </x:c>
      <x:c r="K58" s="157" t="str">
        <x:v>Message quarantined, account activity reviewed, and the user completed phishing guidance.</x:v>
      </x:c>
      <x:c r="L58" s="158" t="n">
        <x:v>46201</x:v>
      </x:c>
      <x:c r="M58" s="159" t="n">
        <x:f>IF(B58="","",IF(L58="",TODAY()-B58,L58-B58))</x:f>
        <x:v>1</x:v>
      </x:c>
      <x:c r="N58" s="160" t="n">
        <x:v>0.2</x:v>
      </x:c>
      <x:c r="O58" s="160" t="n">
        <x:f>IFERROR(VLOOKUP(G58,'Lists'!$F$2:$G$5,2,FALSE),"")</x:f>
        <x:v>1</x:v>
      </x:c>
      <x:c r="P58" s="157" t="str">
        <x:f>IF(N58="","",IF(N58&lt;=O58,"Met","Missed"))</x:f>
        <x:v>Met</x:v>
      </x:c>
    </x:row>
    <x:row r="59" ht="42" customHeight="1">
      <x:c r="A59" s="153" t="str">
        <x:v>INC-1057</x:v>
      </x:c>
      <x:c r="B59" s="154" t="n">
        <x:v>46201</x:v>
      </x:c>
      <x:c r="C59" s="157" t="str">
        <x:v>Tanya Reed</x:v>
      </x:c>
      <x:c r="D59" s="157" t="str">
        <x:v>Management</x:v>
      </x:c>
      <x:c r="E59" s="157" t="str">
        <x:v>Email</x:v>
      </x:c>
      <x:c r="F59" s="157" t="str">
        <x:v>Outlook on CORP-LT-203 is not syncing new messages.</x:v>
      </x:c>
      <x:c r="G59" s="303" t="str">
        <x:v>Medium</x:v>
      </x:c>
      <x:c r="H59" s="304" t="str">
        <x:v>Resolved</x:v>
      </x:c>
      <x:c r="I59" s="305" t="str">
        <x:v>Andres Camacho</x:v>
      </x:c>
      <x:c r="J59" s="157" t="str">
        <x:v>Verified internet access and mailbox availability, checked Work Offline status, restarted Outlook, recreated the local profile, and tested send/receive.</x:v>
      </x:c>
      <x:c r="K59" s="157" t="str">
        <x:v>Mailbox synchronization resumed and a test message was delivered.</x:v>
      </x:c>
      <x:c r="L59" s="158" t="n">
        <x:v>46203</x:v>
      </x:c>
      <x:c r="M59" s="159" t="n">
        <x:f>IF(B59="","",IF(L59="",TODAY()-B59,L59-B59))</x:f>
        <x:v>2</x:v>
      </x:c>
      <x:c r="N59" s="160" t="n">
        <x:v>8.5</x:v>
      </x:c>
      <x:c r="O59" s="160" t="n">
        <x:f>IFERROR(VLOOKUP(G59,'Lists'!$F$2:$G$5,2,FALSE),"")</x:f>
        <x:v>8</x:v>
      </x:c>
      <x:c r="P59" s="157" t="str">
        <x:f>IF(N59="","",IF(N59&lt;=O59,"Met","Missed"))</x:f>
        <x:v>Missed</x:v>
      </x:c>
    </x:row>
    <x:row r="60" ht="42" customHeight="1">
      <x:c r="A60" s="153" t="str">
        <x:v>INC-1058</x:v>
      </x:c>
      <x:c r="B60" s="154" t="n">
        <x:v>46202</x:v>
      </x:c>
      <x:c r="C60" s="157" t="str">
        <x:v>Liam Johnson</x:v>
      </x:c>
      <x:c r="D60" s="157" t="str">
        <x:v>Events</x:v>
      </x:c>
      <x:c r="E60" s="157" t="str">
        <x:v>VPN</x:v>
      </x:c>
      <x:c r="F60" s="157" t="str">
        <x:v>Liam Johnson receives an authentication error while connecting to the company VPN.</x:v>
      </x:c>
      <x:c r="G60" s="303" t="str">
        <x:v>High</x:v>
      </x:c>
      <x:c r="H60" s="304" t="str">
        <x:v>Resolved</x:v>
      </x:c>
      <x:c r="I60" s="305" t="str">
        <x:v>Jordan Lee</x:v>
      </x:c>
      <x:c r="J60" s="157" t="str">
        <x:v>Confirmed internet connectivity, verified system time, checked the VPN profile, re-entered approved credentials, and renewed the MFA session.</x:v>
      </x:c>
      <x:c r="K60" s="157" t="str">
        <x:v>VPN tunnel connected and access to the internal portal was confirmed.</x:v>
      </x:c>
      <x:c r="L60" s="158" t="n">
        <x:v>46203</x:v>
      </x:c>
      <x:c r="M60" s="159" t="n">
        <x:f>IF(B60="","",IF(L60="",TODAY()-B60,L60-B60))</x:f>
        <x:v>1</x:v>
      </x:c>
      <x:c r="N60" s="160" t="n">
        <x:v>5.5</x:v>
      </x:c>
      <x:c r="O60" s="160" t="n">
        <x:f>IFERROR(VLOOKUP(G60,'Lists'!$F$2:$G$5,2,FALSE),"")</x:f>
        <x:v>4</x:v>
      </x:c>
      <x:c r="P60" s="157" t="str">
        <x:f>IF(N60="","",IF(N60&lt;=O60,"Met","Missed"))</x:f>
        <x:v>Missed</x:v>
      </x:c>
    </x:row>
    <x:row r="61" ht="42" customHeight="1">
      <x:c r="A61" s="153" t="str">
        <x:v>INC-1059</x:v>
      </x:c>
      <x:c r="B61" s="154" t="n">
        <x:v>46203</x:v>
      </x:c>
      <x:c r="C61" s="157" t="str">
        <x:v>Amelia Young</x:v>
      </x:c>
      <x:c r="D61" s="157" t="str">
        <x:v>Maintenance</x:v>
      </x:c>
      <x:c r="E61" s="157" t="str">
        <x:v>Audio/Visual</x:v>
      </x:c>
      <x:c r="F61" s="157" t="str">
        <x:v>Conference room display has video but no audio before a scheduled event.</x:v>
      </x:c>
      <x:c r="G61" s="303" t="str">
        <x:v>High</x:v>
      </x:c>
      <x:c r="H61" s="304" t="str">
        <x:v>Resolved</x:v>
      </x:c>
      <x:c r="I61" s="305" t="str">
        <x:v>Priya Shah</x:v>
      </x:c>
      <x:c r="J61" s="157" t="str">
        <x:v>Checked cable seating, display input, Windows output device, application audio settings, and room-system volume; restarted the conference application.</x:v>
      </x:c>
      <x:c r="K61" s="157" t="str">
        <x:v>Room speakers produced clear audio during a test call.</x:v>
      </x:c>
      <x:c r="L61" s="158" t="n">
        <x:v>46204</x:v>
      </x:c>
      <x:c r="M61" s="159" t="n">
        <x:f>IF(B61="","",IF(L61="",TODAY()-B61,L61-B61))</x:f>
        <x:v>1</x:v>
      </x:c>
      <x:c r="N61" s="160" t="n">
        <x:v>2.2</x:v>
      </x:c>
      <x:c r="O61" s="160" t="n">
        <x:f>IFERROR(VLOOKUP(G61,'Lists'!$F$2:$G$5,2,FALSE),"")</x:f>
        <x:v>4</x:v>
      </x:c>
      <x:c r="P61" s="157" t="str">
        <x:f>IF(N61="","",IF(N61&lt;=O61,"Met","Missed"))</x:f>
        <x:v>Met</x:v>
      </x:c>
    </x:row>
    <x:row r="62" ht="42" customHeight="1">
      <x:c r="A62" s="153" t="str">
        <x:v>INC-1060</x:v>
      </x:c>
      <x:c r="B62" s="154" t="n">
        <x:v>46204</x:v>
      </x:c>
      <x:c r="C62" s="157" t="str">
        <x:v>Henry Adams</x:v>
      </x:c>
      <x:c r="D62" s="157" t="str">
        <x:v>Security</x:v>
      </x:c>
      <x:c r="E62" s="157" t="str">
        <x:v>Mobile Device</x:v>
      </x:c>
      <x:c r="F62" s="157" t="str">
        <x:v>Henry Adams's work phone is not receiving the MFA approval prompt.</x:v>
      </x:c>
      <x:c r="G62" s="303" t="str">
        <x:v>Low</x:v>
      </x:c>
      <x:c r="H62" s="304" t="str">
        <x:v>Resolved</x:v>
      </x:c>
      <x:c r="I62" s="305" t="str">
        <x:v>Marcus Brown</x:v>
      </x:c>
      <x:c r="J62" s="157" t="str">
        <x:v>Verified network access, notification permissions, correct device time, authenticator registration, and background-data settings.</x:v>
      </x:c>
      <x:c r="K62" s="157" t="str">
        <x:v>Authenticator registration refreshed and a test approval completed.</x:v>
      </x:c>
      <x:c r="L62" s="158" t="n">
        <x:v>46207</x:v>
      </x:c>
      <x:c r="M62" s="159" t="n">
        <x:f>IF(B62="","",IF(L62="",TODAY()-B62,L62-B62))</x:f>
        <x:v>3</x:v>
      </x:c>
      <x:c r="N62" s="160" t="n">
        <x:v>16.3</x:v>
      </x:c>
      <x:c r="O62" s="160" t="n">
        <x:f>IFERROR(VLOOKUP(G62,'Lists'!$F$2:$G$5,2,FALSE),"")</x:f>
        <x:v>24</x:v>
      </x:c>
      <x:c r="P62" s="157" t="str">
        <x:f>IF(N62="","",IF(N62&lt;=O62,"Met","Missed"))</x:f>
        <x:v>Met</x:v>
      </x:c>
    </x:row>
    <x:row r="63" ht="42" customHeight="1">
      <x:c r="A63" s="153" t="str">
        <x:v>INC-1061</x:v>
      </x:c>
      <x:c r="B63" s="154" t="n">
        <x:v>46205</x:v>
      </x:c>
      <x:c r="C63" s="157" t="str">
        <x:v>Maria Lopez</x:v>
      </x:c>
      <x:c r="D63" s="157" t="str">
        <x:v>Front Desk</x:v>
      </x:c>
      <x:c r="E63" s="157" t="str">
        <x:v>Network</x:v>
      </x:c>
      <x:c r="F63" s="157" t="str">
        <x:v>CORP-LT-201 cannot connect to the secure staff Wi-Fi in Main Lobby.</x:v>
      </x:c>
      <x:c r="G63" s="303" t="str">
        <x:v>High</x:v>
      </x:c>
      <x:c r="H63" s="304" t="str">
        <x:v>Resolved</x:v>
      </x:c>
      <x:c r="I63" s="305" t="str">
        <x:v>Andres Camacho</x:v>
      </x:c>
      <x:c r="J63" s="157" t="str">
        <x:v>Confirmed the outage was limited to one device, verified airplane mode was off, renewed the IP configuration, forgot the saved network, and reconnected with approved credentials.</x:v>
      </x:c>
      <x:c r="K63" s="157" t="str">
        <x:v>Network access was restored and two internal resources loaded successfully.</x:v>
      </x:c>
      <x:c r="L63" s="158" t="n">
        <x:v>46206</x:v>
      </x:c>
      <x:c r="M63" s="159" t="n">
        <x:f>IF(B63="","",IF(L63="",TODAY()-B63,L63-B63))</x:f>
        <x:v>1</x:v>
      </x:c>
      <x:c r="N63" s="160" t="n">
        <x:v>0.8</x:v>
      </x:c>
      <x:c r="O63" s="160" t="n">
        <x:f>IFERROR(VLOOKUP(G63,'Lists'!$F$2:$G$5,2,FALSE),"")</x:f>
        <x:v>4</x:v>
      </x:c>
      <x:c r="P63" s="157" t="str">
        <x:f>IF(N63="","",IF(N63&lt;=O63,"Met","Missed"))</x:f>
        <x:v>Met</x:v>
      </x:c>
    </x:row>
    <x:row r="64" ht="42" customHeight="1">
      <x:c r="A64" s="153" t="str">
        <x:v>INC-1062</x:v>
      </x:c>
      <x:c r="B64" s="154" t="n">
        <x:v>46206</x:v>
      </x:c>
      <x:c r="C64" s="157" t="str">
        <x:v>Noah Thompson</x:v>
      </x:c>
      <x:c r="D64" s="157" t="str">
        <x:v>Human Resources</x:v>
      </x:c>
      <x:c r="E64" s="157" t="str">
        <x:v>Account Access</x:v>
      </x:c>
      <x:c r="F64" s="157" t="str">
        <x:v>Noah Thompson is locked out after repeated sign-in attempts.</x:v>
      </x:c>
      <x:c r="G64" s="303" t="str">
        <x:v>Medium</x:v>
      </x:c>
      <x:c r="H64" s="304" t="str">
        <x:v>Resolved</x:v>
      </x:c>
      <x:c r="I64" s="305" t="str">
        <x:v>Jordan Lee</x:v>
      </x:c>
      <x:c r="J64" s="157" t="str">
        <x:v>Verified the requester's identity, reviewed the lockout message, checked account status, and followed the password-reset procedure.</x:v>
      </x:c>
      <x:c r="K64" s="157" t="str">
        <x:v>Account unlocked, temporary password issued, and successful sign-in confirmed.</x:v>
      </x:c>
      <x:c r="L64" s="158" t="n">
        <x:v>46208</x:v>
      </x:c>
      <x:c r="M64" s="159" t="n">
        <x:f>IF(B64="","",IF(L64="",TODAY()-B64,L64-B64))</x:f>
        <x:v>2</x:v>
      </x:c>
      <x:c r="N64" s="160" t="n">
        <x:v>2.6</x:v>
      </x:c>
      <x:c r="O64" s="160" t="n">
        <x:f>IFERROR(VLOOKUP(G64,'Lists'!$F$2:$G$5,2,FALSE),"")</x:f>
        <x:v>8</x:v>
      </x:c>
      <x:c r="P64" s="157" t="str">
        <x:f>IF(N64="","",IF(N64&lt;=O64,"Met","Missed"))</x:f>
        <x:v>Met</x:v>
      </x:c>
    </x:row>
    <x:row r="65" ht="42" customHeight="1">
      <x:c r="A65" s="153" t="str">
        <x:v>INC-1063</x:v>
      </x:c>
      <x:c r="B65" s="154" t="n">
        <x:v>46207</x:v>
      </x:c>
      <x:c r="C65" s="157" t="str">
        <x:v>Mia Hall</x:v>
      </x:c>
      <x:c r="D65" s="157" t="str">
        <x:v>Housekeeping</x:v>
      </x:c>
      <x:c r="E65" s="157" t="str">
        <x:v>Software</x:v>
      </x:c>
      <x:c r="F65" s="157" t="str">
        <x:v>Microsoft Excel freezes on CORP-LT-215 when opening an operations report.</x:v>
      </x:c>
      <x:c r="G65" s="303" t="str">
        <x:v>Medium</x:v>
      </x:c>
      <x:c r="H65" s="304" t="str">
        <x:v>Resolved</x:v>
      </x:c>
      <x:c r="I65" s="305" t="str">
        <x:v>Priya Shah</x:v>
      </x:c>
      <x:c r="J65" s="157" t="str">
        <x:v>Tested another workbook, checked available storage, ended the stuck process, installed pending updates, and ran an Office quick repair.</x:v>
      </x:c>
      <x:c r="K65" s="157" t="str">
        <x:v>The report opened normally after repair and a restart.</x:v>
      </x:c>
      <x:c r="L65" s="158" t="n">
        <x:v>46209</x:v>
      </x:c>
      <x:c r="M65" s="159" t="n">
        <x:f>IF(B65="","",IF(L65="",TODAY()-B65,L65-B65))</x:f>
        <x:v>2</x:v>
      </x:c>
      <x:c r="N65" s="160" t="n">
        <x:v>3.5</x:v>
      </x:c>
      <x:c r="O65" s="160" t="n">
        <x:f>IFERROR(VLOOKUP(G65,'Lists'!$F$2:$G$5,2,FALSE),"")</x:f>
        <x:v>8</x:v>
      </x:c>
      <x:c r="P65" s="157" t="str">
        <x:f>IF(N65="","",IF(N65&lt;=O65,"Met","Missed"))</x:f>
        <x:v>Met</x:v>
      </x:c>
    </x:row>
    <x:row r="66" ht="42" customHeight="1">
      <x:c r="A66" s="153" t="str">
        <x:v>INC-1064</x:v>
      </x:c>
      <x:c r="B66" s="154" t="n">
        <x:v>46208</x:v>
      </x:c>
      <x:c r="C66" s="157" t="str">
        <x:v>Mateo Green</x:v>
      </x:c>
      <x:c r="D66" s="157" t="str">
        <x:v>Food &amp; Beverage</x:v>
      </x:c>
      <x:c r="E66" s="157" t="str">
        <x:v>Printer</x:v>
      </x:c>
      <x:c r="F66" s="157" t="str">
        <x:v>Shared printer for Food &amp; Beverage shows offline and jobs remain queued.</x:v>
      </x:c>
      <x:c r="G66" s="303" t="str">
        <x:v>Low</x:v>
      </x:c>
      <x:c r="H66" s="304" t="str">
        <x:v>Resolved</x:v>
      </x:c>
      <x:c r="I66" s="305" t="str">
        <x:v>Marcus Brown</x:v>
      </x:c>
      <x:c r="J66" s="157" t="str">
        <x:v>Checked power, paper, network connectivity, and the print queue; restarted the Print Spooler service and re-added the printer by IP address.</x:v>
      </x:c>
      <x:c r="K66" s="157" t="str">
        <x:v>Queue cleared and a test page printed successfully.</x:v>
      </x:c>
      <x:c r="L66" s="158" t="n">
        <x:v>46211</x:v>
      </x:c>
      <x:c r="M66" s="159" t="n">
        <x:f>IF(B66="","",IF(L66="",TODAY()-B66,L66-B66))</x:f>
        <x:v>3</x:v>
      </x:c>
      <x:c r="N66" s="160" t="n">
        <x:v>13.4</x:v>
      </x:c>
      <x:c r="O66" s="160" t="n">
        <x:f>IFERROR(VLOOKUP(G66,'Lists'!$F$2:$G$5,2,FALSE),"")</x:f>
        <x:v>24</x:v>
      </x:c>
      <x:c r="P66" s="157" t="str">
        <x:f>IF(N66="","",IF(N66&lt;=O66,"Met","Missed"))</x:f>
        <x:v>Met</x:v>
      </x:c>
    </x:row>
    <x:row r="67" ht="42" customHeight="1">
      <x:c r="A67" s="153" t="str">
        <x:v>INC-1065</x:v>
      </x:c>
      <x:c r="B67" s="154" t="n">
        <x:v>46209</x:v>
      </x:c>
      <x:c r="C67" s="157" t="str">
        <x:v>Aria Roberts</x:v>
      </x:c>
      <x:c r="D67" s="157" t="str">
        <x:v>Management</x:v>
      </x:c>
      <x:c r="E67" s="157" t="str">
        <x:v>Hardware</x:v>
      </x:c>
      <x:c r="F67" s="157" t="str">
        <x:v>CORP-LT-229 is slow after startup and applications take several minutes to open.</x:v>
      </x:c>
      <x:c r="G67" s="303" t="str">
        <x:v>Medium</x:v>
      </x:c>
      <x:c r="H67" s="304" t="str">
        <x:v>Resolved</x:v>
      </x:c>
      <x:c r="I67" s="305" t="str">
        <x:v>Andres Camacho</x:v>
      </x:c>
      <x:c r="J67" s="157" t="str">
        <x:v>Reviewed startup applications, checked free disk space and Task Manager utilization, installed updates, and completed an approved malware scan.</x:v>
      </x:c>
      <x:c r="K67" s="157" t="str">
        <x:v>Startup performance improved and normal application response was verified.</x:v>
      </x:c>
      <x:c r="L67" s="158" t="n">
        <x:v>46211</x:v>
      </x:c>
      <x:c r="M67" s="159" t="n">
        <x:f>IF(B67="","",IF(L67="",TODAY()-B67,L67-B67))</x:f>
        <x:v>2</x:v>
      </x:c>
      <x:c r="N67" s="160" t="n">
        <x:v>8.5</x:v>
      </x:c>
      <x:c r="O67" s="160" t="n">
        <x:f>IFERROR(VLOOKUP(G67,'Lists'!$F$2:$G$5,2,FALSE),"")</x:f>
        <x:v>8</x:v>
      </x:c>
      <x:c r="P67" s="157" t="str">
        <x:f>IF(N67="","",IF(N67&lt;=O67,"Met","Missed"))</x:f>
        <x:v>Missed</x:v>
      </x:c>
    </x:row>
    <x:row r="68" ht="42" customHeight="1">
      <x:c r="A68" s="153" t="str">
        <x:v>INC-1066</x:v>
      </x:c>
      <x:c r="B68" s="154" t="n">
        <x:v>46210</x:v>
      </x:c>
      <x:c r="C68" s="157" t="str">
        <x:v>David Kim</x:v>
      </x:c>
      <x:c r="D68" s="157" t="str">
        <x:v>Guest Services</x:v>
      </x:c>
      <x:c r="E68" s="157" t="str">
        <x:v>Security</x:v>
      </x:c>
      <x:c r="F68" s="157" t="str">
        <x:v>David Kim reported a suspicious email requesting password verification.</x:v>
      </x:c>
      <x:c r="G68" s="303" t="str">
        <x:v>Critical</x:v>
      </x:c>
      <x:c r="H68" s="304" t="str">
        <x:v>Resolved</x:v>
      </x:c>
      <x:c r="I68" s="305" t="str">
        <x:v>Jordan Lee</x:v>
      </x:c>
      <x:c r="J68" s="157" t="str">
        <x:v>Instructed the user not to click or reply, captured sender and subject details, checked whether a link was opened, and escalated the message for security review.</x:v>
      </x:c>
      <x:c r="K68" s="157" t="str">
        <x:v>Message quarantined, account activity reviewed, and the user completed phishing guidance.</x:v>
      </x:c>
      <x:c r="L68" s="158" t="n">
        <x:v>46211</x:v>
      </x:c>
      <x:c r="M68" s="159" t="n">
        <x:f>IF(B68="","",IF(L68="",TODAY()-B68,L68-B68))</x:f>
        <x:v>1</x:v>
      </x:c>
      <x:c r="N68" s="160" t="n">
        <x:v>0.2</x:v>
      </x:c>
      <x:c r="O68" s="160" t="n">
        <x:f>IFERROR(VLOOKUP(G68,'Lists'!$F$2:$G$5,2,FALSE),"")</x:f>
        <x:v>1</x:v>
      </x:c>
      <x:c r="P68" s="157" t="str">
        <x:f>IF(N68="","",IF(N68&lt;=O68,"Met","Missed"))</x:f>
        <x:v>Met</x:v>
      </x:c>
    </x:row>
    <x:row r="69" ht="42" customHeight="1">
      <x:c r="A69" s="153" t="str">
        <x:v>INC-1067</x:v>
      </x:c>
      <x:c r="B69" s="154" t="n">
        <x:v>46211</x:v>
      </x:c>
      <x:c r="C69" s="157" t="str">
        <x:v>Isabella Moore</x:v>
      </x:c>
      <x:c r="D69" s="157" t="str">
        <x:v>Reservations</x:v>
      </x:c>
      <x:c r="E69" s="157" t="str">
        <x:v>Email</x:v>
      </x:c>
      <x:c r="F69" s="157" t="str">
        <x:v>Outlook on CORP-LT-213 is not syncing new messages.</x:v>
      </x:c>
      <x:c r="G69" s="303" t="str">
        <x:v>Medium</x:v>
      </x:c>
      <x:c r="H69" s="304" t="str">
        <x:v>Resolved</x:v>
      </x:c>
      <x:c r="I69" s="305" t="str">
        <x:v>Priya Shah</x:v>
      </x:c>
      <x:c r="J69" s="157" t="str">
        <x:v>Verified internet access and mailbox availability, checked Work Offline status, restarted Outlook, recreated the local profile, and tested send/receive.</x:v>
      </x:c>
      <x:c r="K69" s="157" t="str">
        <x:v>Mailbox synchronization resumed and a test message was delivered.</x:v>
      </x:c>
      <x:c r="L69" s="158" t="n">
        <x:v>46213</x:v>
      </x:c>
      <x:c r="M69" s="159" t="n">
        <x:f>IF(B69="","",IF(L69="",TODAY()-B69,L69-B69))</x:f>
        <x:v>2</x:v>
      </x:c>
      <x:c r="N69" s="160" t="n">
        <x:v>2.6</x:v>
      </x:c>
      <x:c r="O69" s="160" t="n">
        <x:f>IFERROR(VLOOKUP(G69,'Lists'!$F$2:$G$5,2,FALSE),"")</x:f>
        <x:v>8</x:v>
      </x:c>
      <x:c r="P69" s="157" t="str">
        <x:f>IF(N69="","",IF(N69&lt;=O69,"Met","Missed"))</x:f>
        <x:v>Met</x:v>
      </x:c>
    </x:row>
    <x:row r="70" ht="42" customHeight="1">
      <x:c r="A70" s="153" t="str">
        <x:v>INC-1068</x:v>
      </x:c>
      <x:c r="B70" s="154" t="n">
        <x:v>46212</x:v>
      </x:c>
      <x:c r="C70" s="157" t="str">
        <x:v>Elijah Wright</x:v>
      </x:c>
      <x:c r="D70" s="157" t="str">
        <x:v>Finance</x:v>
      </x:c>
      <x:c r="E70" s="157" t="str">
        <x:v>VPN</x:v>
      </x:c>
      <x:c r="F70" s="157" t="str">
        <x:v>Elijah Wright receives an authentication error while connecting to the company VPN.</x:v>
      </x:c>
      <x:c r="G70" s="303" t="str">
        <x:v>High</x:v>
      </x:c>
      <x:c r="H70" s="304" t="str">
        <x:v>Resolved</x:v>
      </x:c>
      <x:c r="I70" s="305" t="str">
        <x:v>Marcus Brown</x:v>
      </x:c>
      <x:c r="J70" s="157" t="str">
        <x:v>Confirmed internet connectivity, verified system time, checked the VPN profile, re-entered approved credentials, and renewed the MFA session.</x:v>
      </x:c>
      <x:c r="K70" s="157" t="str">
        <x:v>VPN tunnel connected and access to the internal portal was confirmed.</x:v>
      </x:c>
      <x:c r="L70" s="158" t="n">
        <x:v>46213</x:v>
      </x:c>
      <x:c r="M70" s="159" t="n">
        <x:f>IF(B70="","",IF(L70="",TODAY()-B70,L70-B70))</x:f>
        <x:v>1</x:v>
      </x:c>
      <x:c r="N70" s="160" t="n">
        <x:v>1.8</x:v>
      </x:c>
      <x:c r="O70" s="160" t="n">
        <x:f>IFERROR(VLOOKUP(G70,'Lists'!$F$2:$G$5,2,FALSE),"")</x:f>
        <x:v>4</x:v>
      </x:c>
      <x:c r="P70" s="157" t="str">
        <x:f>IF(N70="","",IF(N70&lt;=O70,"Met","Missed"))</x:f>
        <x:v>Met</x:v>
      </x:c>
    </x:row>
    <x:row r="71" ht="42" customHeight="1">
      <x:c r="A71" s="153" t="str">
        <x:v>INC-1069</x:v>
      </x:c>
      <x:c r="B71" s="154" t="n">
        <x:v>46213</x:v>
      </x:c>
      <x:c r="C71" s="157" t="str">
        <x:v>Sofia Campbell</x:v>
      </x:c>
      <x:c r="D71" s="157" t="str">
        <x:v>Front Desk</x:v>
      </x:c>
      <x:c r="E71" s="157" t="str">
        <x:v>Audio/Visual</x:v>
      </x:c>
      <x:c r="F71" s="157" t="str">
        <x:v>Conference room display has video but no audio before a scheduled event.</x:v>
      </x:c>
      <x:c r="G71" s="303" t="str">
        <x:v>High</x:v>
      </x:c>
      <x:c r="H71" s="304" t="str">
        <x:v>Resolved</x:v>
      </x:c>
      <x:c r="I71" s="305" t="str">
        <x:v>Andres Camacho</x:v>
      </x:c>
      <x:c r="J71" s="157" t="str">
        <x:v>Checked cable seating, display input, Windows output device, application audio settings, and room-system volume; restarted the conference application.</x:v>
      </x:c>
      <x:c r="K71" s="157" t="str">
        <x:v>Room speakers produced clear audio during a test call.</x:v>
      </x:c>
      <x:c r="L71" s="158" t="n">
        <x:v>46214</x:v>
      </x:c>
      <x:c r="M71" s="159" t="n">
        <x:f>IF(B71="","",IF(L71="",TODAY()-B71,L71-B71))</x:f>
        <x:v>1</x:v>
      </x:c>
      <x:c r="N71" s="160" t="n">
        <x:v>2.2</x:v>
      </x:c>
      <x:c r="O71" s="160" t="n">
        <x:f>IFERROR(VLOOKUP(G71,'Lists'!$F$2:$G$5,2,FALSE),"")</x:f>
        <x:v>4</x:v>
      </x:c>
      <x:c r="P71" s="157" t="str">
        <x:f>IF(N71="","",IF(N71&lt;=O71,"Met","Missed"))</x:f>
        <x:v>Met</x:v>
      </x:c>
    </x:row>
    <x:row r="72" ht="42" customHeight="1">
      <x:c r="A72" s="153" t="str">
        <x:v>INC-1070</x:v>
      </x:c>
      <x:c r="B72" s="154" t="n">
        <x:v>46214</x:v>
      </x:c>
      <x:c r="C72" s="157" t="str">
        <x:v>Eric Wilson</x:v>
      </x:c>
      <x:c r="D72" s="157" t="str">
        <x:v>Maintenance</x:v>
      </x:c>
      <x:c r="E72" s="157" t="str">
        <x:v>Mobile Device</x:v>
      </x:c>
      <x:c r="F72" s="157" t="str">
        <x:v>Eric Wilson's work phone is not receiving the MFA approval prompt.</x:v>
      </x:c>
      <x:c r="G72" s="303" t="str">
        <x:v>Low</x:v>
      </x:c>
      <x:c r="H72" s="304" t="str">
        <x:v>Resolved</x:v>
      </x:c>
      <x:c r="I72" s="305" t="str">
        <x:v>Jordan Lee</x:v>
      </x:c>
      <x:c r="J72" s="157" t="str">
        <x:v>Verified network access, notification permissions, correct device time, authenticator registration, and background-data settings.</x:v>
      </x:c>
      <x:c r="K72" s="157" t="str">
        <x:v>Authenticator registration refreshed and a test approval completed.</x:v>
      </x:c>
      <x:c r="L72" s="158" t="n">
        <x:v>46217</x:v>
      </x:c>
      <x:c r="M72" s="159" t="n">
        <x:f>IF(B72="","",IF(L72="",TODAY()-B72,L72-B72))</x:f>
        <x:v>3</x:v>
      </x:c>
      <x:c r="N72" s="160" t="n">
        <x:v>16.3</x:v>
      </x:c>
      <x:c r="O72" s="160" t="n">
        <x:f>IFERROR(VLOOKUP(G72,'Lists'!$F$2:$G$5,2,FALSE),"")</x:f>
        <x:v>24</x:v>
      </x:c>
      <x:c r="P72" s="157" t="str">
        <x:f>IF(N72="","",IF(N72&lt;=O72,"Met","Missed"))</x:f>
        <x:v>Met</x:v>
      </x:c>
    </x:row>
    <x:row r="73" ht="42" customHeight="1">
      <x:c r="A73" s="153" t="str">
        <x:v>INC-1071</x:v>
      </x:c>
      <x:c r="B73" s="154" t="n">
        <x:v>46215</x:v>
      </x:c>
      <x:c r="C73" s="157" t="str">
        <x:v>Ava Davis</x:v>
      </x:c>
      <x:c r="D73" s="157" t="str">
        <x:v>Security</x:v>
      </x:c>
      <x:c r="E73" s="157" t="str">
        <x:v>Network</x:v>
      </x:c>
      <x:c r="F73" s="157" t="str">
        <x:v>CORP-LT-211 cannot connect to the secure staff Wi-Fi in Security Desk.</x:v>
      </x:c>
      <x:c r="G73" s="303" t="str">
        <x:v>High</x:v>
      </x:c>
      <x:c r="H73" s="304" t="str">
        <x:v>Resolved</x:v>
      </x:c>
      <x:c r="I73" s="305" t="str">
        <x:v>Priya Shah</x:v>
      </x:c>
      <x:c r="J73" s="157" t="str">
        <x:v>Confirmed the outage was limited to one device, verified airplane mode was off, renewed the IP configuration, forgot the saved network, and reconnected with approved credentials.</x:v>
      </x:c>
      <x:c r="K73" s="157" t="str">
        <x:v>Network access was restored and two internal resources loaded successfully.</x:v>
      </x:c>
      <x:c r="L73" s="158" t="n">
        <x:v>46216</x:v>
      </x:c>
      <x:c r="M73" s="159" t="n">
        <x:f>IF(B73="","",IF(L73="",TODAY()-B73,L73-B73))</x:f>
        <x:v>1</x:v>
      </x:c>
      <x:c r="N73" s="160" t="n">
        <x:v>0.8</x:v>
      </x:c>
      <x:c r="O73" s="160" t="n">
        <x:f>IFERROR(VLOOKUP(G73,'Lists'!$F$2:$G$5,2,FALSE),"")</x:f>
        <x:v>4</x:v>
      </x:c>
      <x:c r="P73" s="157" t="str">
        <x:f>IF(N73="","",IF(N73&lt;=O73,"Met","Missed"))</x:f>
        <x:v>Met</x:v>
      </x:c>
    </x:row>
    <x:row r="74" ht="42" customHeight="1">
      <x:c r="A74" s="153" t="str">
        <x:v>INC-1072</x:v>
      </x:c>
      <x:c r="B74" s="154" t="n">
        <x:v>46216</x:v>
      </x:c>
      <x:c r="C74" s="157" t="str">
        <x:v>Logan Hernandez</x:v>
      </x:c>
      <x:c r="D74" s="157" t="str">
        <x:v>Sales</x:v>
      </x:c>
      <x:c r="E74" s="157" t="str">
        <x:v>Account Access</x:v>
      </x:c>
      <x:c r="F74" s="157" t="str">
        <x:v>Logan Hernandez is locked out after repeated sign-in attempts.</x:v>
      </x:c>
      <x:c r="G74" s="303" t="str">
        <x:v>Medium</x:v>
      </x:c>
      <x:c r="H74" s="304" t="str">
        <x:v>Resolved</x:v>
      </x:c>
      <x:c r="I74" s="305" t="str">
        <x:v>Marcus Brown</x:v>
      </x:c>
      <x:c r="J74" s="157" t="str">
        <x:v>Verified the requester's identity, reviewed the lockout message, checked account status, and followed the password-reset procedure.</x:v>
      </x:c>
      <x:c r="K74" s="157" t="str">
        <x:v>Account unlocked, temporary password issued, and successful sign-in confirmed.</x:v>
      </x:c>
      <x:c r="L74" s="158" t="n">
        <x:v>46218</x:v>
      </x:c>
      <x:c r="M74" s="159" t="n">
        <x:f>IF(B74="","",IF(L74="",TODAY()-B74,L74-B74))</x:f>
        <x:v>2</x:v>
      </x:c>
      <x:c r="N74" s="160" t="n">
        <x:v>2.6</x:v>
      </x:c>
      <x:c r="O74" s="160" t="n">
        <x:f>IFERROR(VLOOKUP(G74,'Lists'!$F$2:$G$5,2,FALSE),"")</x:f>
        <x:v>8</x:v>
      </x:c>
      <x:c r="P74" s="157" t="str">
        <x:f>IF(N74="","",IF(N74&lt;=O74,"Met","Missed"))</x:f>
        <x:v>Met</x:v>
      </x:c>
    </x:row>
    <x:row r="75" ht="42" customHeight="1">
      <x:c r="A75" s="153" t="str">
        <x:v>INC-1073</x:v>
      </x:c>
      <x:c r="B75" s="154" t="n">
        <x:v>46217</x:v>
      </x:c>
      <x:c r="C75" s="157" t="str">
        <x:v>Luna Nelson</x:v>
      </x:c>
      <x:c r="D75" s="157" t="str">
        <x:v>IT Operations</x:v>
      </x:c>
      <x:c r="E75" s="157" t="str">
        <x:v>Software</x:v>
      </x:c>
      <x:c r="F75" s="157" t="str">
        <x:v>Microsoft Excel freezes on CORP-LT-225 when opening an operations report.</x:v>
      </x:c>
      <x:c r="G75" s="303" t="str">
        <x:v>Medium</x:v>
      </x:c>
      <x:c r="H75" s="304" t="str">
        <x:v>Resolved</x:v>
      </x:c>
      <x:c r="I75" s="305" t="str">
        <x:v>Andres Camacho</x:v>
      </x:c>
      <x:c r="J75" s="157" t="str">
        <x:v>Tested another workbook, checked available storage, ended the stuck process, installed pending updates, and ran an Office quick repair.</x:v>
      </x:c>
      <x:c r="K75" s="157" t="str">
        <x:v>The report opened normally after repair and a restart.</x:v>
      </x:c>
      <x:c r="L75" s="158" t="n">
        <x:v>46219</x:v>
      </x:c>
      <x:c r="M75" s="159" t="n">
        <x:f>IF(B75="","",IF(L75="",TODAY()-B75,L75-B75))</x:f>
        <x:v>2</x:v>
      </x:c>
      <x:c r="N75" s="160" t="n">
        <x:v>8.5</x:v>
      </x:c>
      <x:c r="O75" s="160" t="n">
        <x:f>IFERROR(VLOOKUP(G75,'Lists'!$F$2:$G$5,2,FALSE),"")</x:f>
        <x:v>8</x:v>
      </x:c>
      <x:c r="P75" s="157" t="str">
        <x:f>IF(N75="","",IF(N75&lt;=O75,"Met","Missed"))</x:f>
        <x:v>Missed</x:v>
      </x:c>
    </x:row>
    <x:row r="76" ht="42" customHeight="1">
      <x:c r="A76" s="153" t="str">
        <x:v>INC-1074</x:v>
      </x:c>
      <x:c r="B76" s="154" t="n">
        <x:v>46218</x:v>
      </x:c>
      <x:c r="C76" s="157" t="str">
        <x:v>James Carter</x:v>
      </x:c>
      <x:c r="D76" s="157" t="str">
        <x:v>Housekeeping</x:v>
      </x:c>
      <x:c r="E76" s="157" t="str">
        <x:v>Printer</x:v>
      </x:c>
      <x:c r="F76" s="157" t="str">
        <x:v>Shared printer for Housekeeping shows offline and jobs remain queued.</x:v>
      </x:c>
      <x:c r="G76" s="303" t="str">
        <x:v>Low</x:v>
      </x:c>
      <x:c r="H76" s="304" t="str">
        <x:v>Resolved</x:v>
      </x:c>
      <x:c r="I76" s="305" t="str">
        <x:v>Jordan Lee</x:v>
      </x:c>
      <x:c r="J76" s="157" t="str">
        <x:v>Checked power, paper, network connectivity, and the print queue; restarted the Print Spooler service and re-added the printer by IP address.</x:v>
      </x:c>
      <x:c r="K76" s="157" t="str">
        <x:v>Queue cleared and a test page printed successfully.</x:v>
      </x:c>
      <x:c r="L76" s="158" t="n">
        <x:v>46221</x:v>
      </x:c>
      <x:c r="M76" s="159" t="n">
        <x:f>IF(B76="","",IF(L76="",TODAY()-B76,L76-B76))</x:f>
        <x:v>3</x:v>
      </x:c>
      <x:c r="N76" s="160" t="n">
        <x:v>13.4</x:v>
      </x:c>
      <x:c r="O76" s="160" t="n">
        <x:f>IFERROR(VLOOKUP(G76,'Lists'!$F$2:$G$5,2,FALSE),"")</x:f>
        <x:v>24</x:v>
      </x:c>
      <x:c r="P76" s="157" t="str">
        <x:f>IF(N76="","",IF(N76&lt;=O76,"Met","Missed"))</x:f>
        <x:v>Met</x:v>
      </x:c>
    </x:row>
    <x:row r="77" ht="42" customHeight="1">
      <x:c r="A77" s="153" t="str">
        <x:v>INC-1075</x:v>
      </x:c>
      <x:c r="B77" s="154" t="n">
        <x:v>46219</x:v>
      </x:c>
      <x:c r="C77" s="157" t="str">
        <x:v>Sophia Ramirez</x:v>
      </x:c>
      <x:c r="D77" s="157" t="str">
        <x:v>Food &amp; Beverage</x:v>
      </x:c>
      <x:c r="E77" s="157" t="str">
        <x:v>Hardware</x:v>
      </x:c>
      <x:c r="F77" s="157" t="str">
        <x:v>CORP-LT-209 is slow after startup and applications take several minutes to open.</x:v>
      </x:c>
      <x:c r="G77" s="303" t="str">
        <x:v>Medium</x:v>
      </x:c>
      <x:c r="H77" s="304" t="str">
        <x:v>Resolved</x:v>
      </x:c>
      <x:c r="I77" s="305" t="str">
        <x:v>Priya Shah</x:v>
      </x:c>
      <x:c r="J77" s="157" t="str">
        <x:v>Reviewed startup applications, checked free disk space and Task Manager utilization, installed updates, and completed an approved malware scan.</x:v>
      </x:c>
      <x:c r="K77" s="157" t="str">
        <x:v>Startup performance improved and normal application response was verified.</x:v>
      </x:c>
      <x:c r="L77" s="158" t="n">
        <x:v>46221</x:v>
      </x:c>
      <x:c r="M77" s="159" t="n">
        <x:f>IF(B77="","",IF(L77="",TODAY()-B77,L77-B77))</x:f>
        <x:v>2</x:v>
      </x:c>
      <x:c r="N77" s="160" t="n">
        <x:v>5.4</x:v>
      </x:c>
      <x:c r="O77" s="160" t="n">
        <x:f>IFERROR(VLOOKUP(G77,'Lists'!$F$2:$G$5,2,FALSE),"")</x:f>
        <x:v>8</x:v>
      </x:c>
      <x:c r="P77" s="157" t="str">
        <x:f>IF(N77="","",IF(N77&lt;=O77,"Met","Missed"))</x:f>
        <x:v>Met</x:v>
      </x:c>
    </x:row>
    <x:row r="78" ht="42" customHeight="1">
      <x:c r="A78" s="153" t="str">
        <x:v>INC-1076</x:v>
      </x:c>
      <x:c r="B78" s="154" t="n">
        <x:v>46220</x:v>
      </x:c>
      <x:c r="C78" s="157" t="str">
        <x:v>Lucas Allen</x:v>
      </x:c>
      <x:c r="D78" s="157" t="str">
        <x:v>Management</x:v>
      </x:c>
      <x:c r="E78" s="157" t="str">
        <x:v>Security</x:v>
      </x:c>
      <x:c r="F78" s="157" t="str">
        <x:v>Lucas Allen reported a suspicious email requesting password verification.</x:v>
      </x:c>
      <x:c r="G78" s="303" t="str">
        <x:v>Critical</x:v>
      </x:c>
      <x:c r="H78" s="304" t="str">
        <x:v>Resolved</x:v>
      </x:c>
      <x:c r="I78" s="305" t="str">
        <x:v>Marcus Brown</x:v>
      </x:c>
      <x:c r="J78" s="157" t="str">
        <x:v>Instructed the user not to click or reply, captured sender and subject details, checked whether a link was opened, and escalated the message for security review.</x:v>
      </x:c>
      <x:c r="K78" s="157" t="str">
        <x:v>Message quarantined, account activity reviewed, and the user completed phishing guidance.</x:v>
      </x:c>
      <x:c r="L78" s="158" t="n">
        <x:v>46221</x:v>
      </x:c>
      <x:c r="M78" s="159" t="n">
        <x:f>IF(B78="","",IF(L78="",TODAY()-B78,L78-B78))</x:f>
        <x:v>1</x:v>
      </x:c>
      <x:c r="N78" s="160" t="n">
        <x:v>0.2</x:v>
      </x:c>
      <x:c r="O78" s="160" t="n">
        <x:f>IFERROR(VLOOKUP(G78,'Lists'!$F$2:$G$5,2,FALSE),"")</x:f>
        <x:v>1</x:v>
      </x:c>
      <x:c r="P78" s="157" t="str">
        <x:f>IF(N78="","",IF(N78&lt;=O78,"Met","Missed"))</x:f>
        <x:v>Met</x:v>
      </x:c>
    </x:row>
    <x:row r="79" ht="42" customHeight="1">
      <x:c r="A79" s="153" t="str">
        <x:v>INC-1077</x:v>
      </x:c>
      <x:c r="B79" s="154" t="n">
        <x:v>46221</x:v>
      </x:c>
      <x:c r="C79" s="157" t="str">
        <x:v>Camila Baker</x:v>
      </x:c>
      <x:c r="D79" s="157" t="str">
        <x:v>Events</x:v>
      </x:c>
      <x:c r="E79" s="157" t="str">
        <x:v>Email</x:v>
      </x:c>
      <x:c r="F79" s="157" t="str">
        <x:v>Outlook on CORP-LT-223 is not syncing new messages.</x:v>
      </x:c>
      <x:c r="G79" s="303" t="str">
        <x:v>Medium</x:v>
      </x:c>
      <x:c r="H79" s="304" t="str">
        <x:v>In Progress</x:v>
      </x:c>
      <x:c r="I79" s="305" t="str">
        <x:v>Andres Camacho</x:v>
      </x:c>
      <x:c r="J79" s="157" t="str">
        <x:v>Verified internet access and mailbox availability, checked Work Offline status, restarted Outlook, recreated the local profile, and tested send/receive.</x:v>
      </x:c>
      <x:c r="K79" s="157" t="str">
        <x:v>Troubleshooting in progress; next action is documented for follow-up.</x:v>
      </x:c>
      <x:c r="L79" s="158"/>
      <x:c r="M79" s="159" t="n">
        <x:f>IF(B79="","",IF(L79="",TODAY()-B79,L79-B79))</x:f>
        <x:v>24</x:v>
      </x:c>
      <x:c r="N79" s="160" t="n">
        <x:v>8.5</x:v>
      </x:c>
      <x:c r="O79" s="160" t="n">
        <x:f>IFERROR(VLOOKUP(G79,'Lists'!$F$2:$G$5,2,FALSE),"")</x:f>
        <x:v>8</x:v>
      </x:c>
      <x:c r="P79" s="157" t="str">
        <x:f>IF(N79="","",IF(N79&lt;=O79,"Met","Missed"))</x:f>
        <x:v>Missed</x:v>
      </x:c>
    </x:row>
    <x:row r="80" ht="42" customHeight="1">
      <x:c r="A80" s="153" t="str">
        <x:v>INC-1078</x:v>
      </x:c>
      <x:c r="B80" s="154" t="n">
        <x:v>46222</x:v>
      </x:c>
      <x:c r="C80" s="157" t="str">
        <x:v>Daniel Turner</x:v>
      </x:c>
      <x:c r="D80" s="157" t="str">
        <x:v>Maintenance</x:v>
      </x:c>
      <x:c r="E80" s="157" t="str">
        <x:v>VPN</x:v>
      </x:c>
      <x:c r="F80" s="157" t="str">
        <x:v>Daniel Turner receives an authentication error while connecting to the company VPN.</x:v>
      </x:c>
      <x:c r="G80" s="303" t="str">
        <x:v>High</x:v>
      </x:c>
      <x:c r="H80" s="304" t="str">
        <x:v>In Progress</x:v>
      </x:c>
      <x:c r="I80" s="305" t="str">
        <x:v>Jordan Lee</x:v>
      </x:c>
      <x:c r="J80" s="157" t="str">
        <x:v>Confirmed internet connectivity, verified system time, checked the VPN profile, re-entered approved credentials, and renewed the MFA session.</x:v>
      </x:c>
      <x:c r="K80" s="157" t="str">
        <x:v>Troubleshooting in progress; next action is documented for follow-up.</x:v>
      </x:c>
      <x:c r="L80" s="158"/>
      <x:c r="M80" s="159" t="n">
        <x:f>IF(B80="","",IF(L80="",TODAY()-B80,L80-B80))</x:f>
        <x:v>23</x:v>
      </x:c>
      <x:c r="N80" s="160" t="n">
        <x:v>1.8</x:v>
      </x:c>
      <x:c r="O80" s="160" t="n">
        <x:f>IFERROR(VLOOKUP(G80,'Lists'!$F$2:$G$5,2,FALSE),"")</x:f>
        <x:v>4</x:v>
      </x:c>
      <x:c r="P80" s="157" t="str">
        <x:f>IF(N80="","",IF(N80&lt;=O80,"Met","Missed"))</x:f>
        <x:v>Met</x:v>
      </x:c>
    </x:row>
    <x:row r="81" ht="42" customHeight="1">
      <x:c r="A81" s="153" t="str">
        <x:v>INC-1079</x:v>
      </x:c>
      <x:c r="B81" s="154" t="n">
        <x:v>46223</x:v>
      </x:c>
      <x:c r="C81" s="157" t="str">
        <x:v>Olivia Martin</x:v>
      </x:c>
      <x:c r="D81" s="157" t="str">
        <x:v>Finance</x:v>
      </x:c>
      <x:c r="E81" s="157" t="str">
        <x:v>Audio/Visual</x:v>
      </x:c>
      <x:c r="F81" s="157" t="str">
        <x:v>Conference room display has video but no audio before a scheduled event.</x:v>
      </x:c>
      <x:c r="G81" s="303" t="str">
        <x:v>High</x:v>
      </x:c>
      <x:c r="H81" s="304" t="str">
        <x:v>In Progress</x:v>
      </x:c>
      <x:c r="I81" s="305" t="str">
        <x:v>Priya Shah</x:v>
      </x:c>
      <x:c r="J81" s="157" t="str">
        <x:v>Checked cable seating, display input, Windows output device, application audio settings, and room-system volume; restarted the conference application.</x:v>
      </x:c>
      <x:c r="K81" s="157" t="str">
        <x:v>Troubleshooting in progress; next action is documented for follow-up.</x:v>
      </x:c>
      <x:c r="L81" s="158"/>
      <x:c r="M81" s="159" t="n">
        <x:f>IF(B81="","",IF(L81="",TODAY()-B81,L81-B81))</x:f>
        <x:v>22</x:v>
      </x:c>
      <x:c r="N81" s="160" t="n">
        <x:v>2.2</x:v>
      </x:c>
      <x:c r="O81" s="160" t="n">
        <x:f>IFERROR(VLOOKUP(G81,'Lists'!$F$2:$G$5,2,FALSE),"")</x:f>
        <x:v>4</x:v>
      </x:c>
      <x:c r="P81" s="157" t="str">
        <x:f>IF(N81="","",IF(N81&lt;=O81,"Met","Missed"))</x:f>
        <x:v>Met</x:v>
      </x:c>
    </x:row>
    <x:row r="82" ht="42" customHeight="1">
      <x:c r="A82" s="153" t="str">
        <x:v>INC-1080</x:v>
      </x:c>
      <x:c r="B82" s="154" t="n">
        <x:v>46224</x:v>
      </x:c>
      <x:c r="C82" s="157" t="str">
        <x:v>Mason Clark</x:v>
      </x:c>
      <x:c r="D82" s="157" t="str">
        <x:v>Front Desk</x:v>
      </x:c>
      <x:c r="E82" s="157" t="str">
        <x:v>Mobile Device</x:v>
      </x:c>
      <x:c r="F82" s="157" t="str">
        <x:v>Mason Clark's work phone is not receiving the MFA approval prompt.</x:v>
      </x:c>
      <x:c r="G82" s="303" t="str">
        <x:v>Low</x:v>
      </x:c>
      <x:c r="H82" s="304" t="str">
        <x:v>In Progress</x:v>
      </x:c>
      <x:c r="I82" s="305" t="str">
        <x:v>Marcus Brown</x:v>
      </x:c>
      <x:c r="J82" s="157" t="str">
        <x:v>Verified network access, notification permissions, correct device time, authenticator registration, and background-data settings.</x:v>
      </x:c>
      <x:c r="K82" s="157" t="str">
        <x:v>Troubleshooting in progress; next action is documented for follow-up.</x:v>
      </x:c>
      <x:c r="L82" s="158"/>
      <x:c r="M82" s="159" t="n">
        <x:f>IF(B82="","",IF(L82="",TODAY()-B82,L82-B82))</x:f>
        <x:v>21</x:v>
      </x:c>
      <x:c r="N82" s="160" t="n">
        <x:v>16.3</x:v>
      </x:c>
      <x:c r="O82" s="160" t="n">
        <x:f>IFERROR(VLOOKUP(G82,'Lists'!$F$2:$G$5,2,FALSE),"")</x:f>
        <x:v>24</x:v>
      </x:c>
      <x:c r="P82" s="157" t="str">
        <x:f>IF(N82="","",IF(N82&lt;=O82,"Met","Missed"))</x:f>
        <x:v>Met</x:v>
      </x:c>
    </x:row>
    <x:row r="83" ht="42" customHeight="1">
      <x:c r="A83" s="153" t="str">
        <x:v>INC-1081</x:v>
      </x:c>
      <x:c r="B83" s="154" t="n">
        <x:v>46225</x:v>
      </x:c>
      <x:c r="C83" s="157" t="str">
        <x:v>Evelyn Scott</x:v>
      </x:c>
      <x:c r="D83" s="157" t="str">
        <x:v>Human Resources</x:v>
      </x:c>
      <x:c r="E83" s="157" t="str">
        <x:v>Network</x:v>
      </x:c>
      <x:c r="F83" s="157" t="str">
        <x:v>CORP-LT-221 cannot connect to the secure staff Wi-Fi in HR Office.</x:v>
      </x:c>
      <x:c r="G83" s="303" t="str">
        <x:v>High</x:v>
      </x:c>
      <x:c r="H83" s="304" t="str">
        <x:v>In Progress</x:v>
      </x:c>
      <x:c r="I83" s="305" t="str">
        <x:v>Andres Camacho</x:v>
      </x:c>
      <x:c r="J83" s="157" t="str">
        <x:v>Confirmed the outage was limited to one device, verified airplane mode was off, renewed the IP configuration, forgot the saved network, and reconnected with approved credentials.</x:v>
      </x:c>
      <x:c r="K83" s="157" t="str">
        <x:v>Troubleshooting in progress; next action is documented for follow-up.</x:v>
      </x:c>
      <x:c r="L83" s="158"/>
      <x:c r="M83" s="159" t="n">
        <x:f>IF(B83="","",IF(L83="",TODAY()-B83,L83-B83))</x:f>
        <x:v>20</x:v>
      </x:c>
      <x:c r="N83" s="160" t="n">
        <x:v>4.5</x:v>
      </x:c>
      <x:c r="O83" s="160" t="n">
        <x:f>IFERROR(VLOOKUP(G83,'Lists'!$F$2:$G$5,2,FALSE),"")</x:f>
        <x:v>4</x:v>
      </x:c>
      <x:c r="P83" s="157" t="str">
        <x:f>IF(N83="","",IF(N83&lt;=O83,"Met","Missed"))</x:f>
        <x:v>Missed</x:v>
      </x:c>
    </x:row>
    <x:row r="84" ht="42" customHeight="1">
      <x:c r="A84" s="153" t="str">
        <x:v>INC-1082</x:v>
      </x:c>
      <x:c r="B84" s="154" t="n">
        <x:v>46226</x:v>
      </x:c>
      <x:c r="C84" s="157" t="str">
        <x:v>Jack Mitchell</x:v>
      </x:c>
      <x:c r="D84" s="157" t="str">
        <x:v>Housekeeping</x:v>
      </x:c>
      <x:c r="E84" s="157" t="str">
        <x:v>Account Access</x:v>
      </x:c>
      <x:c r="F84" s="157" t="str">
        <x:v>Jack Mitchell is locked out after repeated sign-in attempts.</x:v>
      </x:c>
      <x:c r="G84" s="303" t="str">
        <x:v>Medium</x:v>
      </x:c>
      <x:c r="H84" s="304" t="str">
        <x:v>In Progress</x:v>
      </x:c>
      <x:c r="I84" s="305" t="str">
        <x:v>Jordan Lee</x:v>
      </x:c>
      <x:c r="J84" s="157" t="str">
        <x:v>Verified the requester's identity, reviewed the lockout message, checked account status, and followed the password-reset procedure.</x:v>
      </x:c>
      <x:c r="K84" s="157" t="str">
        <x:v>Troubleshooting in progress; next action is documented for follow-up.</x:v>
      </x:c>
      <x:c r="L84" s="158"/>
      <x:c r="M84" s="159" t="n">
        <x:f>IF(B84="","",IF(L84="",TODAY()-B84,L84-B84))</x:f>
        <x:v>19</x:v>
      </x:c>
      <x:c r="N84" s="160" t="n">
        <x:v>2.6</x:v>
      </x:c>
      <x:c r="O84" s="160" t="n">
        <x:f>IFERROR(VLOOKUP(G84,'Lists'!$F$2:$G$5,2,FALSE),"")</x:f>
        <x:v>8</x:v>
      </x:c>
      <x:c r="P84" s="157" t="str">
        <x:f>IF(N84="","",IF(N84&lt;=O84,"Met","Missed"))</x:f>
        <x:v>Met</x:v>
      </x:c>
    </x:row>
    <x:row r="85" ht="42" customHeight="1">
      <x:c r="A85" s="153" t="str">
        <x:v>INC-1083</x:v>
      </x:c>
      <x:c r="B85" s="154" t="n">
        <x:v>46227</x:v>
      </x:c>
      <x:c r="C85" s="157" t="str">
        <x:v>Nina Patel</x:v>
      </x:c>
      <x:c r="D85" s="157" t="str">
        <x:v>Sales</x:v>
      </x:c>
      <x:c r="E85" s="157" t="str">
        <x:v>Software</x:v>
      </x:c>
      <x:c r="F85" s="157" t="str">
        <x:v>Microsoft Excel freezes on CORP-LT-205 when opening an operations report.</x:v>
      </x:c>
      <x:c r="G85" s="303" t="str">
        <x:v>Medium</x:v>
      </x:c>
      <x:c r="H85" s="304" t="str">
        <x:v>In Progress</x:v>
      </x:c>
      <x:c r="I85" s="305" t="str">
        <x:v>Priya Shah</x:v>
      </x:c>
      <x:c r="J85" s="157" t="str">
        <x:v>Tested another workbook, checked available storage, ended the stuck process, installed pending updates, and ran an Office quick repair.</x:v>
      </x:c>
      <x:c r="K85" s="157" t="str">
        <x:v>Troubleshooting in progress; next action is documented for follow-up.</x:v>
      </x:c>
      <x:c r="L85" s="158"/>
      <x:c r="M85" s="159" t="n">
        <x:f>IF(B85="","",IF(L85="",TODAY()-B85,L85-B85))</x:f>
        <x:v>18</x:v>
      </x:c>
      <x:c r="N85" s="160" t="n">
        <x:v>3.5</x:v>
      </x:c>
      <x:c r="O85" s="160" t="n">
        <x:f>IFERROR(VLOOKUP(G85,'Lists'!$F$2:$G$5,2,FALSE),"")</x:f>
        <x:v>8</x:v>
      </x:c>
      <x:c r="P85" s="157" t="str">
        <x:f>IF(N85="","",IF(N85&lt;=O85,"Met","Missed"))</x:f>
        <x:v>Met</x:v>
      </x:c>
    </x:row>
    <x:row r="86" ht="42" customHeight="1">
      <x:c r="A86" s="153" t="str">
        <x:v>INC-1084</x:v>
      </x:c>
      <x:c r="B86" s="154" t="n">
        <x:v>46228</x:v>
      </x:c>
      <x:c r="C86" s="157" t="str">
        <x:v>Ethan Brown</x:v>
      </x:c>
      <x:c r="D86" s="157" t="str">
        <x:v>IT Operations</x:v>
      </x:c>
      <x:c r="E86" s="157" t="str">
        <x:v>Printer</x:v>
      </x:c>
      <x:c r="F86" s="157" t="str">
        <x:v>Shared printer for IT Operations shows offline and jobs remain queued.</x:v>
      </x:c>
      <x:c r="G86" s="303" t="str">
        <x:v>Low</x:v>
      </x:c>
      <x:c r="H86" s="304" t="str">
        <x:v>In Progress</x:v>
      </x:c>
      <x:c r="I86" s="305" t="str">
        <x:v>Marcus Brown</x:v>
      </x:c>
      <x:c r="J86" s="157" t="str">
        <x:v>Checked power, paper, network connectivity, and the print queue; restarted the Print Spooler service and re-added the printer by IP address.</x:v>
      </x:c>
      <x:c r="K86" s="157" t="str">
        <x:v>Troubleshooting in progress; next action is documented for follow-up.</x:v>
      </x:c>
      <x:c r="L86" s="158"/>
      <x:c r="M86" s="159" t="n">
        <x:f>IF(B86="","",IF(L86="",TODAY()-B86,L86-B86))</x:f>
        <x:v>17</x:v>
      </x:c>
      <x:c r="N86" s="160" t="n">
        <x:v>13.4</x:v>
      </x:c>
      <x:c r="O86" s="160" t="n">
        <x:f>IFERROR(VLOOKUP(G86,'Lists'!$F$2:$G$5,2,FALSE),"")</x:f>
        <x:v>24</x:v>
      </x:c>
      <x:c r="P86" s="157" t="str">
        <x:f>IF(N86="","",IF(N86&lt;=O86,"Met","Missed"))</x:f>
        <x:v>Met</x:v>
      </x:c>
    </x:row>
    <x:row r="87" ht="42" customHeight="1">
      <x:c r="A87" s="153" t="str">
        <x:v>INC-1085</x:v>
      </x:c>
      <x:c r="B87" s="154" t="n">
        <x:v>46229</x:v>
      </x:c>
      <x:c r="C87" s="157" t="str">
        <x:v>Harper King</x:v>
      </x:c>
      <x:c r="D87" s="157" t="str">
        <x:v>Guest Services</x:v>
      </x:c>
      <x:c r="E87" s="157" t="str">
        <x:v>Hardware</x:v>
      </x:c>
      <x:c r="F87" s="157" t="str">
        <x:v>CORP-LT-219 is slow after startup and applications take several minutes to open.</x:v>
      </x:c>
      <x:c r="G87" s="303" t="str">
        <x:v>Medium</x:v>
      </x:c>
      <x:c r="H87" s="304" t="str">
        <x:v>In Progress</x:v>
      </x:c>
      <x:c r="I87" s="305" t="str">
        <x:v>Andres Camacho</x:v>
      </x:c>
      <x:c r="J87" s="157" t="str">
        <x:v>Reviewed startup applications, checked free disk space and Task Manager utilization, installed updates, and completed an approved malware scan.</x:v>
      </x:c>
      <x:c r="K87" s="157" t="str">
        <x:v>Troubleshooting in progress; next action is documented for follow-up.</x:v>
      </x:c>
      <x:c r="L87" s="158"/>
      <x:c r="M87" s="159" t="n">
        <x:f>IF(B87="","",IF(L87="",TODAY()-B87,L87-B87))</x:f>
        <x:v>16</x:v>
      </x:c>
      <x:c r="N87" s="160" t="n">
        <x:v>5.4</x:v>
      </x:c>
      <x:c r="O87" s="160" t="n">
        <x:f>IFERROR(VLOOKUP(G87,'Lists'!$F$2:$G$5,2,FALSE),"")</x:f>
        <x:v>8</x:v>
      </x:c>
      <x:c r="P87" s="157" t="str">
        <x:f>IF(N87="","",IF(N87&lt;=O87,"Met","Missed"))</x:f>
        <x:v>Met</x:v>
      </x:c>
    </x:row>
    <x:row r="88" ht="42" customHeight="1">
      <x:c r="A88" s="153" t="str">
        <x:v>INC-1086</x:v>
      </x:c>
      <x:c r="B88" s="154" t="n">
        <x:v>46230</x:v>
      </x:c>
      <x:c r="C88" s="157" t="str">
        <x:v>Sebastian Hill</x:v>
      </x:c>
      <x:c r="D88" s="157" t="str">
        <x:v>Reservations</x:v>
      </x:c>
      <x:c r="E88" s="157" t="str">
        <x:v>Security</x:v>
      </x:c>
      <x:c r="F88" s="157" t="str">
        <x:v>Sebastian Hill reported a suspicious email requesting password verification.</x:v>
      </x:c>
      <x:c r="G88" s="303" t="str">
        <x:v>Critical</x:v>
      </x:c>
      <x:c r="H88" s="304" t="str">
        <x:v>In Progress</x:v>
      </x:c>
      <x:c r="I88" s="305" t="str">
        <x:v>Jordan Lee</x:v>
      </x:c>
      <x:c r="J88" s="157" t="str">
        <x:v>Instructed the user not to click or reply, captured sender and subject details, checked whether a link was opened, and escalated the message for security review.</x:v>
      </x:c>
      <x:c r="K88" s="157" t="str">
        <x:v>Troubleshooting in progress; next action is documented for follow-up.</x:v>
      </x:c>
      <x:c r="L88" s="158"/>
      <x:c r="M88" s="159" t="n">
        <x:f>IF(B88="","",IF(L88="",TODAY()-B88,L88-B88))</x:f>
        <x:v>15</x:v>
      </x:c>
      <x:c r="N88" s="160" t="n">
        <x:v>0.2</x:v>
      </x:c>
      <x:c r="O88" s="160" t="n">
        <x:f>IFERROR(VLOOKUP(G88,'Lists'!$F$2:$G$5,2,FALSE),"")</x:f>
        <x:v>1</x:v>
      </x:c>
      <x:c r="P88" s="157" t="str">
        <x:f>IF(N88="","",IF(N88&lt;=O88,"Met","Missed"))</x:f>
        <x:v>Met</x:v>
      </x:c>
    </x:row>
    <x:row r="89" ht="42" customHeight="1">
      <x:c r="A89" s="153" t="str">
        <x:v>INC-1087</x:v>
      </x:c>
      <x:c r="B89" s="154" t="n">
        <x:v>46231</x:v>
      </x:c>
      <x:c r="C89" s="157" t="str">
        <x:v>Tanya Reed</x:v>
      </x:c>
      <x:c r="D89" s="157" t="str">
        <x:v>Management</x:v>
      </x:c>
      <x:c r="E89" s="157" t="str">
        <x:v>Email</x:v>
      </x:c>
      <x:c r="F89" s="157" t="str">
        <x:v>Outlook on CORP-LT-203 is not syncing new messages.</x:v>
      </x:c>
      <x:c r="G89" s="303" t="str">
        <x:v>Medium</x:v>
      </x:c>
      <x:c r="H89" s="304" t="str">
        <x:v>In Progress</x:v>
      </x:c>
      <x:c r="I89" s="305" t="str">
        <x:v>Priya Shah</x:v>
      </x:c>
      <x:c r="J89" s="157" t="str">
        <x:v>Verified internet access and mailbox availability, checked Work Offline status, restarted Outlook, recreated the local profile, and tested send/receive.</x:v>
      </x:c>
      <x:c r="K89" s="157" t="str">
        <x:v>Troubleshooting in progress; next action is documented for follow-up.</x:v>
      </x:c>
      <x:c r="L89" s="158"/>
      <x:c r="M89" s="159" t="n">
        <x:f>IF(B89="","",IF(L89="",TODAY()-B89,L89-B89))</x:f>
        <x:v>14</x:v>
      </x:c>
      <x:c r="N89" s="160" t="n">
        <x:v>2.6</x:v>
      </x:c>
      <x:c r="O89" s="160" t="n">
        <x:f>IFERROR(VLOOKUP(G89,'Lists'!$F$2:$G$5,2,FALSE),"")</x:f>
        <x:v>8</x:v>
      </x:c>
      <x:c r="P89" s="157" t="str">
        <x:f>IF(N89="","",IF(N89&lt;=O89,"Met","Missed"))</x:f>
        <x:v>Met</x:v>
      </x:c>
    </x:row>
    <x:row r="90" ht="42" customHeight="1">
      <x:c r="A90" s="153" t="str">
        <x:v>INC-1088</x:v>
      </x:c>
      <x:c r="B90" s="154" t="n">
        <x:v>46232</x:v>
      </x:c>
      <x:c r="C90" s="157" t="str">
        <x:v>Liam Johnson</x:v>
      </x:c>
      <x:c r="D90" s="157" t="str">
        <x:v>Events</x:v>
      </x:c>
      <x:c r="E90" s="157" t="str">
        <x:v>VPN</x:v>
      </x:c>
      <x:c r="F90" s="157" t="str">
        <x:v>Liam Johnson receives an authentication error while connecting to the company VPN.</x:v>
      </x:c>
      <x:c r="G90" s="303" t="str">
        <x:v>High</x:v>
      </x:c>
      <x:c r="H90" s="304" t="str">
        <x:v>In Progress</x:v>
      </x:c>
      <x:c r="I90" s="305" t="str">
        <x:v>Marcus Brown</x:v>
      </x:c>
      <x:c r="J90" s="157" t="str">
        <x:v>Confirmed internet connectivity, verified system time, checked the VPN profile, re-entered approved credentials, and renewed the MFA session.</x:v>
      </x:c>
      <x:c r="K90" s="157" t="str">
        <x:v>Troubleshooting in progress; next action is documented for follow-up.</x:v>
      </x:c>
      <x:c r="L90" s="158"/>
      <x:c r="M90" s="159" t="n">
        <x:f>IF(B90="","",IF(L90="",TODAY()-B90,L90-B90))</x:f>
        <x:v>13</x:v>
      </x:c>
      <x:c r="N90" s="160" t="n">
        <x:v>1.8</x:v>
      </x:c>
      <x:c r="O90" s="160" t="n">
        <x:f>IFERROR(VLOOKUP(G90,'Lists'!$F$2:$G$5,2,FALSE),"")</x:f>
        <x:v>4</x:v>
      </x:c>
      <x:c r="P90" s="157" t="str">
        <x:f>IF(N90="","",IF(N90&lt;=O90,"Met","Missed"))</x:f>
        <x:v>Met</x:v>
      </x:c>
    </x:row>
    <x:row r="91" ht="42" customHeight="1">
      <x:c r="A91" s="153" t="str">
        <x:v>INC-1089</x:v>
      </x:c>
      <x:c r="B91" s="154" t="n">
        <x:v>46233</x:v>
      </x:c>
      <x:c r="C91" s="157" t="str">
        <x:v>Amelia Young</x:v>
      </x:c>
      <x:c r="D91" s="157" t="str">
        <x:v>Maintenance</x:v>
      </x:c>
      <x:c r="E91" s="157" t="str">
        <x:v>Audio/Visual</x:v>
      </x:c>
      <x:c r="F91" s="157" t="str">
        <x:v>Conference room display has video but no audio before a scheduled event.</x:v>
      </x:c>
      <x:c r="G91" s="303" t="str">
        <x:v>High</x:v>
      </x:c>
      <x:c r="H91" s="304" t="str">
        <x:v>In Progress</x:v>
      </x:c>
      <x:c r="I91" s="305" t="str">
        <x:v>Andres Camacho</x:v>
      </x:c>
      <x:c r="J91" s="157" t="str">
        <x:v>Checked cable seating, display input, Windows output device, application audio settings, and room-system volume; restarted the conference application.</x:v>
      </x:c>
      <x:c r="K91" s="157" t="str">
        <x:v>Troubleshooting in progress; next action is documented for follow-up.</x:v>
      </x:c>
      <x:c r="L91" s="158"/>
      <x:c r="M91" s="159" t="n">
        <x:f>IF(B91="","",IF(L91="",TODAY()-B91,L91-B91))</x:f>
        <x:v>12</x:v>
      </x:c>
      <x:c r="N91" s="160" t="n">
        <x:v>4.5</x:v>
      </x:c>
      <x:c r="O91" s="160" t="n">
        <x:f>IFERROR(VLOOKUP(G91,'Lists'!$F$2:$G$5,2,FALSE),"")</x:f>
        <x:v>4</x:v>
      </x:c>
      <x:c r="P91" s="157" t="str">
        <x:f>IF(N91="","",IF(N91&lt;=O91,"Met","Missed"))</x:f>
        <x:v>Missed</x:v>
      </x:c>
    </x:row>
    <x:row r="92" ht="42" customHeight="1">
      <x:c r="A92" s="153" t="str">
        <x:v>INC-1090</x:v>
      </x:c>
      <x:c r="B92" s="154" t="n">
        <x:v>46234</x:v>
      </x:c>
      <x:c r="C92" s="157" t="str">
        <x:v>Henry Adams</x:v>
      </x:c>
      <x:c r="D92" s="157" t="str">
        <x:v>Security</x:v>
      </x:c>
      <x:c r="E92" s="157" t="str">
        <x:v>Mobile Device</x:v>
      </x:c>
      <x:c r="F92" s="157" t="str">
        <x:v>Henry Adams's work phone is not receiving the MFA approval prompt.</x:v>
      </x:c>
      <x:c r="G92" s="303" t="str">
        <x:v>Low</x:v>
      </x:c>
      <x:c r="H92" s="304" t="str">
        <x:v>In Progress</x:v>
      </x:c>
      <x:c r="I92" s="305" t="str">
        <x:v>Jordan Lee</x:v>
      </x:c>
      <x:c r="J92" s="157" t="str">
        <x:v>Verified network access, notification permissions, correct device time, authenticator registration, and background-data settings.</x:v>
      </x:c>
      <x:c r="K92" s="157" t="str">
        <x:v>Troubleshooting in progress; next action is documented for follow-up.</x:v>
      </x:c>
      <x:c r="L92" s="158"/>
      <x:c r="M92" s="159" t="n">
        <x:f>IF(B92="","",IF(L92="",TODAY()-B92,L92-B92))</x:f>
        <x:v>11</x:v>
      </x:c>
      <x:c r="N92" s="160" t="n">
        <x:v>16.3</x:v>
      </x:c>
      <x:c r="O92" s="160" t="n">
        <x:f>IFERROR(VLOOKUP(G92,'Lists'!$F$2:$G$5,2,FALSE),"")</x:f>
        <x:v>24</x:v>
      </x:c>
      <x:c r="P92" s="157" t="str">
        <x:f>IF(N92="","",IF(N92&lt;=O92,"Met","Missed"))</x:f>
        <x:v>Met</x:v>
      </x:c>
    </x:row>
    <x:row r="93" ht="42" customHeight="1">
      <x:c r="A93" s="153" t="str">
        <x:v>INC-1091</x:v>
      </x:c>
      <x:c r="B93" s="154" t="n">
        <x:v>46235</x:v>
      </x:c>
      <x:c r="C93" s="157" t="str">
        <x:v>Maria Lopez</x:v>
      </x:c>
      <x:c r="D93" s="157" t="str">
        <x:v>Front Desk</x:v>
      </x:c>
      <x:c r="E93" s="157" t="str">
        <x:v>Network</x:v>
      </x:c>
      <x:c r="F93" s="157" t="str">
        <x:v>CORP-LT-201 cannot connect to the secure staff Wi-Fi in Main Lobby.</x:v>
      </x:c>
      <x:c r="G93" s="303" t="str">
        <x:v>High</x:v>
      </x:c>
      <x:c r="H93" s="304" t="str">
        <x:v>Open</x:v>
      </x:c>
      <x:c r="I93" s="305" t="str">
        <x:v>Unassigned</x:v>
      </x:c>
      <x:c r="J93" s="157" t="str">
        <x:v>Confirmed the outage was limited to one device, verified airplane mode was off, renewed the IP configuration, forgot the saved network, and reconnected with approved credentials.</x:v>
      </x:c>
      <x:c r="K93" s="157" t="str">
        <x:v>Awaiting technician assignment or requester availability.</x:v>
      </x:c>
      <x:c r="L93" s="158"/>
      <x:c r="M93" s="159" t="n">
        <x:f>IF(B93="","",IF(L93="",TODAY()-B93,L93-B93))</x:f>
        <x:v>10</x:v>
      </x:c>
      <x:c r="N93" s="160" t="n">
        <x:v>0.8</x:v>
      </x:c>
      <x:c r="O93" s="160" t="n">
        <x:f>IFERROR(VLOOKUP(G93,'Lists'!$F$2:$G$5,2,FALSE),"")</x:f>
        <x:v>4</x:v>
      </x:c>
      <x:c r="P93" s="157" t="str">
        <x:f>IF(N93="","",IF(N93&lt;=O93,"Met","Missed"))</x:f>
        <x:v>Met</x:v>
      </x:c>
    </x:row>
    <x:row r="94" ht="42" customHeight="1">
      <x:c r="A94" s="153" t="str">
        <x:v>INC-1092</x:v>
      </x:c>
      <x:c r="B94" s="154" t="n">
        <x:v>46236</x:v>
      </x:c>
      <x:c r="C94" s="157" t="str">
        <x:v>Noah Thompson</x:v>
      </x:c>
      <x:c r="D94" s="157" t="str">
        <x:v>Human Resources</x:v>
      </x:c>
      <x:c r="E94" s="157" t="str">
        <x:v>Account Access</x:v>
      </x:c>
      <x:c r="F94" s="157" t="str">
        <x:v>Noah Thompson is locked out after repeated sign-in attempts.</x:v>
      </x:c>
      <x:c r="G94" s="303" t="str">
        <x:v>Medium</x:v>
      </x:c>
      <x:c r="H94" s="304" t="str">
        <x:v>Open</x:v>
      </x:c>
      <x:c r="I94" s="305" t="str">
        <x:v>Marcus Brown</x:v>
      </x:c>
      <x:c r="J94" s="157" t="str">
        <x:v>Verified the requester's identity, reviewed the lockout message, checked account status, and followed the password-reset procedure.</x:v>
      </x:c>
      <x:c r="K94" s="157" t="str">
        <x:v>Awaiting technician assignment or requester availability.</x:v>
      </x:c>
      <x:c r="L94" s="158"/>
      <x:c r="M94" s="159" t="n">
        <x:f>IF(B94="","",IF(L94="",TODAY()-B94,L94-B94))</x:f>
        <x:v>9</x:v>
      </x:c>
      <x:c r="N94" s="160" t="n">
        <x:v>2.6</x:v>
      </x:c>
      <x:c r="O94" s="160" t="n">
        <x:f>IFERROR(VLOOKUP(G94,'Lists'!$F$2:$G$5,2,FALSE),"")</x:f>
        <x:v>8</x:v>
      </x:c>
      <x:c r="P94" s="157" t="str">
        <x:f>IF(N94="","",IF(N94&lt;=O94,"Met","Missed"))</x:f>
        <x:v>Met</x:v>
      </x:c>
    </x:row>
    <x:row r="95" ht="42" customHeight="1">
      <x:c r="A95" s="153" t="str">
        <x:v>INC-1093</x:v>
      </x:c>
      <x:c r="B95" s="154" t="n">
        <x:v>46237</x:v>
      </x:c>
      <x:c r="C95" s="157" t="str">
        <x:v>Mia Hall</x:v>
      </x:c>
      <x:c r="D95" s="157" t="str">
        <x:v>Housekeeping</x:v>
      </x:c>
      <x:c r="E95" s="157" t="str">
        <x:v>Software</x:v>
      </x:c>
      <x:c r="F95" s="157" t="str">
        <x:v>Microsoft Excel freezes on CORP-LT-215 when opening an operations report.</x:v>
      </x:c>
      <x:c r="G95" s="303" t="str">
        <x:v>Medium</x:v>
      </x:c>
      <x:c r="H95" s="304" t="str">
        <x:v>Open</x:v>
      </x:c>
      <x:c r="I95" s="305" t="str">
        <x:v>Andres Camacho</x:v>
      </x:c>
      <x:c r="J95" s="157" t="str">
        <x:v>Tested another workbook, checked available storage, ended the stuck process, installed pending updates, and ran an Office quick repair.</x:v>
      </x:c>
      <x:c r="K95" s="157" t="str">
        <x:v>Awaiting technician assignment or requester availability.</x:v>
      </x:c>
      <x:c r="L95" s="158"/>
      <x:c r="M95" s="159" t="n">
        <x:f>IF(B95="","",IF(L95="",TODAY()-B95,L95-B95))</x:f>
        <x:v>8</x:v>
      </x:c>
      <x:c r="N95" s="160" t="n">
        <x:v>3.5</x:v>
      </x:c>
      <x:c r="O95" s="160" t="n">
        <x:f>IFERROR(VLOOKUP(G95,'Lists'!$F$2:$G$5,2,FALSE),"")</x:f>
        <x:v>8</x:v>
      </x:c>
      <x:c r="P95" s="157" t="str">
        <x:f>IF(N95="","",IF(N95&lt;=O95,"Met","Missed"))</x:f>
        <x:v>Met</x:v>
      </x:c>
    </x:row>
    <x:row r="96" ht="42" customHeight="1">
      <x:c r="A96" s="153" t="str">
        <x:v>INC-1094</x:v>
      </x:c>
      <x:c r="B96" s="154" t="n">
        <x:v>46238</x:v>
      </x:c>
      <x:c r="C96" s="157" t="str">
        <x:v>Mateo Green</x:v>
      </x:c>
      <x:c r="D96" s="157" t="str">
        <x:v>Food &amp; Beverage</x:v>
      </x:c>
      <x:c r="E96" s="157" t="str">
        <x:v>Printer</x:v>
      </x:c>
      <x:c r="F96" s="157" t="str">
        <x:v>Shared printer for Food &amp; Beverage shows offline and jobs remain queued.</x:v>
      </x:c>
      <x:c r="G96" s="303" t="str">
        <x:v>Low</x:v>
      </x:c>
      <x:c r="H96" s="304" t="str">
        <x:v>Open</x:v>
      </x:c>
      <x:c r="I96" s="305" t="str">
        <x:v>Jordan Lee</x:v>
      </x:c>
      <x:c r="J96" s="157" t="str">
        <x:v>Checked power, paper, network connectivity, and the print queue; restarted the Print Spooler service and re-added the printer by IP address.</x:v>
      </x:c>
      <x:c r="K96" s="157" t="str">
        <x:v>Awaiting technician assignment or requester availability.</x:v>
      </x:c>
      <x:c r="L96" s="158"/>
      <x:c r="M96" s="159" t="n">
        <x:f>IF(B96="","",IF(L96="",TODAY()-B96,L96-B96))</x:f>
        <x:v>7</x:v>
      </x:c>
      <x:c r="N96" s="160" t="n">
        <x:v>13.4</x:v>
      </x:c>
      <x:c r="O96" s="160" t="n">
        <x:f>IFERROR(VLOOKUP(G96,'Lists'!$F$2:$G$5,2,FALSE),"")</x:f>
        <x:v>24</x:v>
      </x:c>
      <x:c r="P96" s="157" t="str">
        <x:f>IF(N96="","",IF(N96&lt;=O96,"Met","Missed"))</x:f>
        <x:v>Met</x:v>
      </x:c>
    </x:row>
    <x:row r="97" ht="42" customHeight="1">
      <x:c r="A97" s="153" t="str">
        <x:v>INC-1095</x:v>
      </x:c>
      <x:c r="B97" s="154" t="n">
        <x:v>46239</x:v>
      </x:c>
      <x:c r="C97" s="157" t="str">
        <x:v>Aria Roberts</x:v>
      </x:c>
      <x:c r="D97" s="157" t="str">
        <x:v>Management</x:v>
      </x:c>
      <x:c r="E97" s="157" t="str">
        <x:v>Hardware</x:v>
      </x:c>
      <x:c r="F97" s="157" t="str">
        <x:v>CORP-LT-229 is slow after startup and applications take several minutes to open.</x:v>
      </x:c>
      <x:c r="G97" s="303" t="str">
        <x:v>Medium</x:v>
      </x:c>
      <x:c r="H97" s="304" t="str">
        <x:v>Open</x:v>
      </x:c>
      <x:c r="I97" s="305" t="str">
        <x:v>Unassigned</x:v>
      </x:c>
      <x:c r="J97" s="157" t="str">
        <x:v>Reviewed startup applications, checked free disk space and Task Manager utilization, installed updates, and completed an approved malware scan.</x:v>
      </x:c>
      <x:c r="K97" s="157" t="str">
        <x:v>Awaiting technician assignment or requester availability.</x:v>
      </x:c>
      <x:c r="L97" s="158"/>
      <x:c r="M97" s="159" t="n">
        <x:f>IF(B97="","",IF(L97="",TODAY()-B97,L97-B97))</x:f>
        <x:v>6</x:v>
      </x:c>
      <x:c r="N97" s="160" t="n">
        <x:v>5.4</x:v>
      </x:c>
      <x:c r="O97" s="160" t="n">
        <x:f>IFERROR(VLOOKUP(G97,'Lists'!$F$2:$G$5,2,FALSE),"")</x:f>
        <x:v>8</x:v>
      </x:c>
      <x:c r="P97" s="157" t="str">
        <x:f>IF(N97="","",IF(N97&lt;=O97,"Met","Missed"))</x:f>
        <x:v>Met</x:v>
      </x:c>
    </x:row>
    <x:row r="98" ht="42" customHeight="1">
      <x:c r="A98" s="153" t="str">
        <x:v>INC-1096</x:v>
      </x:c>
      <x:c r="B98" s="154" t="n">
        <x:v>46240</x:v>
      </x:c>
      <x:c r="C98" s="157" t="str">
        <x:v>David Kim</x:v>
      </x:c>
      <x:c r="D98" s="157" t="str">
        <x:v>Guest Services</x:v>
      </x:c>
      <x:c r="E98" s="157" t="str">
        <x:v>Security</x:v>
      </x:c>
      <x:c r="F98" s="157" t="str">
        <x:v>David Kim reported a suspicious email requesting password verification.</x:v>
      </x:c>
      <x:c r="G98" s="303" t="str">
        <x:v>Critical</x:v>
      </x:c>
      <x:c r="H98" s="304" t="str">
        <x:v>Open</x:v>
      </x:c>
      <x:c r="I98" s="305" t="str">
        <x:v>Marcus Brown</x:v>
      </x:c>
      <x:c r="J98" s="157" t="str">
        <x:v>Instructed the user not to click or reply, captured sender and subject details, checked whether a link was opened, and escalated the message for security review.</x:v>
      </x:c>
      <x:c r="K98" s="157" t="str">
        <x:v>Awaiting technician assignment or requester availability.</x:v>
      </x:c>
      <x:c r="L98" s="158"/>
      <x:c r="M98" s="159" t="n">
        <x:f>IF(B98="","",IF(L98="",TODAY()-B98,L98-B98))</x:f>
        <x:v>5</x:v>
      </x:c>
      <x:c r="N98" s="160" t="n">
        <x:v>4.5</x:v>
      </x:c>
      <x:c r="O98" s="160" t="n">
        <x:f>IFERROR(VLOOKUP(G98,'Lists'!$F$2:$G$5,2,FALSE),"")</x:f>
        <x:v>1</x:v>
      </x:c>
      <x:c r="P98" s="157" t="str">
        <x:f>IF(N98="","",IF(N98&lt;=O98,"Met","Missed"))</x:f>
        <x:v>Missed</x:v>
      </x:c>
    </x:row>
    <x:row r="99" ht="42" customHeight="1">
      <x:c r="A99" s="153" t="str">
        <x:v>INC-1097</x:v>
      </x:c>
      <x:c r="B99" s="154" t="n">
        <x:v>46241</x:v>
      </x:c>
      <x:c r="C99" s="157" t="str">
        <x:v>Isabella Moore</x:v>
      </x:c>
      <x:c r="D99" s="157" t="str">
        <x:v>Reservations</x:v>
      </x:c>
      <x:c r="E99" s="157" t="str">
        <x:v>Email</x:v>
      </x:c>
      <x:c r="F99" s="157" t="str">
        <x:v>Outlook on CORP-LT-213 is not syncing new messages.</x:v>
      </x:c>
      <x:c r="G99" s="303" t="str">
        <x:v>Medium</x:v>
      </x:c>
      <x:c r="H99" s="304" t="str">
        <x:v>Open</x:v>
      </x:c>
      <x:c r="I99" s="305" t="str">
        <x:v>Andres Camacho</x:v>
      </x:c>
      <x:c r="J99" s="157" t="str">
        <x:v>Verified internet access and mailbox availability, checked Work Offline status, restarted Outlook, recreated the local profile, and tested send/receive.</x:v>
      </x:c>
      <x:c r="K99" s="157" t="str">
        <x:v>Awaiting technician assignment or requester availability.</x:v>
      </x:c>
      <x:c r="L99" s="158"/>
      <x:c r="M99" s="159" t="n">
        <x:f>IF(B99="","",IF(L99="",TODAY()-B99,L99-B99))</x:f>
        <x:v>4</x:v>
      </x:c>
      <x:c r="N99" s="160" t="n">
        <x:v>8.5</x:v>
      </x:c>
      <x:c r="O99" s="160" t="n">
        <x:f>IFERROR(VLOOKUP(G99,'Lists'!$F$2:$G$5,2,FALSE),"")</x:f>
        <x:v>8</x:v>
      </x:c>
      <x:c r="P99" s="157" t="str">
        <x:f>IF(N99="","",IF(N99&lt;=O99,"Met","Missed"))</x:f>
        <x:v>Missed</x:v>
      </x:c>
    </x:row>
    <x:row r="100" ht="42" customHeight="1">
      <x:c r="A100" s="153" t="str">
        <x:v>INC-1098</x:v>
      </x:c>
      <x:c r="B100" s="154" t="n">
        <x:v>46242</x:v>
      </x:c>
      <x:c r="C100" s="157" t="str">
        <x:v>Elijah Wright</x:v>
      </x:c>
      <x:c r="D100" s="157" t="str">
        <x:v>Finance</x:v>
      </x:c>
      <x:c r="E100" s="157" t="str">
        <x:v>VPN</x:v>
      </x:c>
      <x:c r="F100" s="157" t="str">
        <x:v>Elijah Wright receives an authentication error while connecting to the company VPN.</x:v>
      </x:c>
      <x:c r="G100" s="303" t="str">
        <x:v>High</x:v>
      </x:c>
      <x:c r="H100" s="304" t="str">
        <x:v>Open</x:v>
      </x:c>
      <x:c r="I100" s="305" t="str">
        <x:v>Jordan Lee</x:v>
      </x:c>
      <x:c r="J100" s="157" t="str">
        <x:v>Confirmed internet connectivity, verified system time, checked the VPN profile, re-entered approved credentials, and renewed the MFA session.</x:v>
      </x:c>
      <x:c r="K100" s="157" t="str">
        <x:v>Awaiting technician assignment or requester availability.</x:v>
      </x:c>
      <x:c r="L100" s="158"/>
      <x:c r="M100" s="159" t="n">
        <x:f>IF(B100="","",IF(L100="",TODAY()-B100,L100-B100))</x:f>
        <x:v>3</x:v>
      </x:c>
      <x:c r="N100" s="160" t="n">
        <x:v>1.8</x:v>
      </x:c>
      <x:c r="O100" s="160" t="n">
        <x:f>IFERROR(VLOOKUP(G100,'Lists'!$F$2:$G$5,2,FALSE),"")</x:f>
        <x:v>4</x:v>
      </x:c>
      <x:c r="P100" s="157" t="str">
        <x:f>IF(N100="","",IF(N100&lt;=O100,"Met","Missed"))</x:f>
        <x:v>Met</x:v>
      </x:c>
    </x:row>
    <x:row r="101" ht="42" customHeight="1">
      <x:c r="A101" s="153" t="str">
        <x:v>INC-1099</x:v>
      </x:c>
      <x:c r="B101" s="154" t="n">
        <x:v>46243</x:v>
      </x:c>
      <x:c r="C101" s="157" t="str">
        <x:v>Sofia Campbell</x:v>
      </x:c>
      <x:c r="D101" s="157" t="str">
        <x:v>Front Desk</x:v>
      </x:c>
      <x:c r="E101" s="157" t="str">
        <x:v>Audio/Visual</x:v>
      </x:c>
      <x:c r="F101" s="157" t="str">
        <x:v>Conference room display has video but no audio before a scheduled event.</x:v>
      </x:c>
      <x:c r="G101" s="303" t="str">
        <x:v>High</x:v>
      </x:c>
      <x:c r="H101" s="304" t="str">
        <x:v>Open</x:v>
      </x:c>
      <x:c r="I101" s="305" t="str">
        <x:v>Unassigned</x:v>
      </x:c>
      <x:c r="J101" s="157" t="str">
        <x:v>Checked cable seating, display input, Windows output device, application audio settings, and room-system volume; restarted the conference application.</x:v>
      </x:c>
      <x:c r="K101" s="157" t="str">
        <x:v>Awaiting technician assignment or requester availability.</x:v>
      </x:c>
      <x:c r="L101" s="158"/>
      <x:c r="M101" s="159" t="n">
        <x:f>IF(B101="","",IF(L101="",TODAY()-B101,L101-B101))</x:f>
        <x:v>2</x:v>
      </x:c>
      <x:c r="N101" s="160" t="n">
        <x:v>2.2</x:v>
      </x:c>
      <x:c r="O101" s="160" t="n">
        <x:f>IFERROR(VLOOKUP(G101,'Lists'!$F$2:$G$5,2,FALSE),"")</x:f>
        <x:v>4</x:v>
      </x:c>
      <x:c r="P101" s="157" t="str">
        <x:f>IF(N101="","",IF(N101&lt;=O101,"Met","Missed"))</x:f>
        <x:v>Met</x:v>
      </x:c>
    </x:row>
    <x:row r="102" ht="42" customHeight="1">
      <x:c r="A102" s="153" t="str">
        <x:v>INC-1100</x:v>
      </x:c>
      <x:c r="B102" s="154" t="n">
        <x:v>46244</x:v>
      </x:c>
      <x:c r="C102" s="157" t="str">
        <x:v>Eric Wilson</x:v>
      </x:c>
      <x:c r="D102" s="157" t="str">
        <x:v>Maintenance</x:v>
      </x:c>
      <x:c r="E102" s="157" t="str">
        <x:v>Mobile Device</x:v>
      </x:c>
      <x:c r="F102" s="157" t="str">
        <x:v>Eric Wilson's work phone is not receiving the MFA approval prompt.</x:v>
      </x:c>
      <x:c r="G102" s="306" t="str">
        <x:v>Low</x:v>
      </x:c>
      <x:c r="H102" s="307" t="str">
        <x:v>Open</x:v>
      </x:c>
      <x:c r="I102" s="308" t="str">
        <x:v>Marcus Brown</x:v>
      </x:c>
      <x:c r="J102" s="157" t="str">
        <x:v>Verified network access, notification permissions, correct device time, authenticator registration, and background-data settings.</x:v>
      </x:c>
      <x:c r="K102" s="157" t="str">
        <x:v>Awaiting technician assignment or requester availability.</x:v>
      </x:c>
      <x:c r="L102" s="158"/>
      <x:c r="M102" s="159" t="n">
        <x:f>IF(B102="","",IF(L102="",TODAY()-B102,L102-B102))</x:f>
        <x:v>1</x:v>
      </x:c>
      <x:c r="N102" s="160" t="n">
        <x:v>16.3</x:v>
      </x:c>
      <x:c r="O102" s="160" t="n">
        <x:f>IFERROR(VLOOKUP(G102,'Lists'!$F$2:$G$5,2,FALSE),"")</x:f>
        <x:v>24</x:v>
      </x:c>
      <x:c r="P102" s="157" t="str">
        <x:f>IF(N102="","",IF(N102&lt;=O102,"Met","Missed"))</x:f>
        <x:v>Met</x:v>
      </x:c>
    </x:row>
    <x:row r="103">
      <x:c r="A103"/>
      <x:c r="B103"/>
      <x:c r="C103"/>
      <x:c r="D103"/>
      <x:c r="E103"/>
      <x:c r="F103"/>
      <x:c r="G103"/>
      <x:c r="H103"/>
      <x:c r="I103"/>
      <x:c r="J103"/>
      <x:c r="K103"/>
      <x:c r="L103"/>
      <x:c r="M103"/>
    </x:row>
    <x:row r="104">
      <x:c r="A104"/>
      <x:c r="B104"/>
      <x:c r="C104"/>
      <x:c r="D104"/>
      <x:c r="E104"/>
      <x:c r="F104"/>
      <x:c r="G104"/>
      <x:c r="H104"/>
      <x:c r="I104"/>
      <x:c r="J104"/>
      <x:c r="K104"/>
      <x:c r="L104"/>
      <x:c r="M104"/>
    </x:row>
    <x:row r="105">
      <x:c r="A105"/>
      <x:c r="B105"/>
      <x:c r="C105"/>
      <x:c r="D105"/>
      <x:c r="E105"/>
      <x:c r="F105"/>
      <x:c r="G105"/>
      <x:c r="H105"/>
      <x:c r="I105"/>
      <x:c r="J105"/>
      <x:c r="K105"/>
      <x:c r="L105"/>
      <x:c r="M105"/>
    </x:row>
    <x:row r="106">
      <x:c r="A106"/>
      <x:c r="B106"/>
      <x:c r="C106"/>
      <x:c r="D106"/>
      <x:c r="E106"/>
      <x:c r="F106"/>
      <x:c r="G106"/>
      <x:c r="H106"/>
      <x:c r="I106"/>
      <x:c r="J106"/>
      <x:c r="K106"/>
      <x:c r="L106"/>
      <x:c r="M106"/>
    </x:row>
    <x:row r="107">
      <x:c r="A107"/>
      <x:c r="B107"/>
      <x:c r="C107"/>
      <x:c r="D107"/>
      <x:c r="E107"/>
      <x:c r="F107"/>
      <x:c r="G107"/>
      <x:c r="H107"/>
      <x:c r="I107"/>
      <x:c r="J107"/>
      <x:c r="K107"/>
      <x:c r="L107"/>
      <x:c r="M107"/>
    </x:row>
    <x:row r="108">
      <x:c r="A108"/>
      <x:c r="B108"/>
      <x:c r="C108"/>
      <x:c r="D108"/>
      <x:c r="E108"/>
      <x:c r="F108"/>
      <x:c r="G108"/>
      <x:c r="H108"/>
      <x:c r="I108"/>
      <x:c r="J108"/>
      <x:c r="K108"/>
      <x:c r="L108"/>
      <x:c r="M108"/>
    </x:row>
    <x:row r="109">
      <x:c r="A109"/>
      <x:c r="B109"/>
      <x:c r="C109"/>
      <x:c r="D109"/>
      <x:c r="E109"/>
      <x:c r="F109"/>
      <x:c r="G109"/>
      <x:c r="H109"/>
      <x:c r="I109"/>
      <x:c r="J109"/>
      <x:c r="K109"/>
      <x:c r="L109"/>
      <x:c r="M109"/>
    </x:row>
    <x:row r="110">
      <x:c r="A110"/>
      <x:c r="B110"/>
      <x:c r="C110"/>
      <x:c r="D110"/>
      <x:c r="E110"/>
      <x:c r="F110"/>
      <x:c r="G110"/>
      <x:c r="H110"/>
      <x:c r="I110"/>
      <x:c r="J110"/>
      <x:c r="K110"/>
      <x:c r="L110"/>
      <x:c r="M110"/>
    </x:row>
    <x:row r="111">
      <x:c r="A111"/>
      <x:c r="B111"/>
      <x:c r="C111"/>
      <x:c r="D111"/>
      <x:c r="E111"/>
      <x:c r="F111"/>
      <x:c r="G111"/>
      <x:c r="H111"/>
      <x:c r="I111"/>
      <x:c r="J111"/>
      <x:c r="K111"/>
      <x:c r="L111"/>
      <x:c r="M111"/>
    </x:row>
    <x:row r="112">
      <x:c r="A112"/>
      <x:c r="B112"/>
      <x:c r="C112"/>
      <x:c r="D112"/>
      <x:c r="E112"/>
      <x:c r="F112"/>
      <x:c r="G112"/>
      <x:c r="H112"/>
      <x:c r="I112"/>
      <x:c r="J112"/>
      <x:c r="K112"/>
      <x:c r="L112"/>
      <x:c r="M112"/>
    </x:row>
    <x:row r="113">
      <x:c r="A113"/>
      <x:c r="B113"/>
      <x:c r="C113"/>
      <x:c r="D113"/>
      <x:c r="E113"/>
      <x:c r="F113"/>
      <x:c r="G113"/>
      <x:c r="H113"/>
      <x:c r="I113"/>
      <x:c r="J113"/>
      <x:c r="K113"/>
      <x:c r="L113"/>
      <x:c r="M113"/>
    </x:row>
    <x:row r="114">
      <x:c r="A114"/>
      <x:c r="B114"/>
      <x:c r="C114"/>
      <x:c r="D114"/>
      <x:c r="E114"/>
      <x:c r="F114"/>
      <x:c r="G114"/>
      <x:c r="H114"/>
      <x:c r="I114"/>
      <x:c r="J114"/>
      <x:c r="K114"/>
      <x:c r="L114"/>
      <x:c r="M114"/>
    </x:row>
    <x:row r="115">
      <x:c r="A115"/>
      <x:c r="B115"/>
      <x:c r="C115"/>
      <x:c r="D115"/>
      <x:c r="E115"/>
      <x:c r="F115"/>
      <x:c r="G115"/>
      <x:c r="H115"/>
      <x:c r="I115"/>
      <x:c r="J115"/>
      <x:c r="K115"/>
      <x:c r="L115"/>
      <x:c r="M115"/>
    </x:row>
    <x:row r="116">
      <x:c r="A116"/>
      <x:c r="B116"/>
      <x:c r="C116"/>
      <x:c r="D116"/>
      <x:c r="E116"/>
      <x:c r="F116"/>
      <x:c r="G116"/>
      <x:c r="H116"/>
      <x:c r="I116"/>
      <x:c r="J116"/>
      <x:c r="K116"/>
      <x:c r="L116"/>
      <x:c r="M116"/>
    </x:row>
    <x:row r="117">
      <x:c r="A117"/>
      <x:c r="B117"/>
      <x:c r="C117"/>
      <x:c r="D117"/>
      <x:c r="E117"/>
      <x:c r="F117"/>
      <x:c r="G117"/>
      <x:c r="H117"/>
      <x:c r="I117"/>
      <x:c r="J117"/>
      <x:c r="K117"/>
      <x:c r="L117"/>
      <x:c r="M117"/>
    </x:row>
    <x:row r="118">
      <x:c r="A118"/>
      <x:c r="B118"/>
      <x:c r="C118"/>
      <x:c r="D118"/>
      <x:c r="E118"/>
      <x:c r="F118"/>
      <x:c r="G118"/>
      <x:c r="H118"/>
      <x:c r="I118"/>
      <x:c r="J118"/>
      <x:c r="K118"/>
      <x:c r="L118"/>
      <x:c r="M118"/>
    </x:row>
    <x:row r="119">
      <x:c r="A119"/>
      <x:c r="B119"/>
      <x:c r="C119"/>
      <x:c r="D119"/>
      <x:c r="E119"/>
      <x:c r="F119"/>
      <x:c r="G119"/>
      <x:c r="H119"/>
      <x:c r="I119"/>
      <x:c r="J119"/>
      <x:c r="K119"/>
      <x:c r="L119"/>
      <x:c r="M119"/>
    </x:row>
    <x:row r="120">
      <x:c r="A120"/>
      <x:c r="B120"/>
      <x:c r="C120"/>
      <x:c r="D120"/>
      <x:c r="E120"/>
      <x:c r="F120"/>
      <x:c r="G120"/>
      <x:c r="H120"/>
      <x:c r="I120"/>
      <x:c r="J120"/>
      <x:c r="K120"/>
      <x:c r="L120"/>
      <x:c r="M120"/>
    </x:row>
    <x:row r="121">
      <x:c r="A121"/>
      <x:c r="B121"/>
      <x:c r="C121"/>
      <x:c r="D121"/>
      <x:c r="E121"/>
      <x:c r="F121"/>
      <x:c r="G121"/>
      <x:c r="H121"/>
      <x:c r="I121"/>
      <x:c r="J121"/>
      <x:c r="K121"/>
      <x:c r="L121"/>
      <x:c r="M121"/>
    </x:row>
    <x:row r="122">
      <x:c r="A122"/>
      <x:c r="B122"/>
      <x:c r="C122"/>
      <x:c r="D122"/>
      <x:c r="E122"/>
      <x:c r="F122"/>
      <x:c r="G122"/>
      <x:c r="H122"/>
      <x:c r="I122"/>
      <x:c r="J122"/>
      <x:c r="K122"/>
      <x:c r="L122"/>
      <x:c r="M122"/>
    </x:row>
    <x:row r="123">
      <x:c r="A123"/>
      <x:c r="B123"/>
      <x:c r="C123"/>
      <x:c r="D123"/>
      <x:c r="E123"/>
      <x:c r="F123"/>
      <x:c r="G123"/>
      <x:c r="H123"/>
      <x:c r="I123"/>
      <x:c r="J123"/>
      <x:c r="K123"/>
      <x:c r="L123"/>
      <x:c r="M123"/>
    </x:row>
    <x:row r="124">
      <x:c r="A124"/>
      <x:c r="B124"/>
      <x:c r="C124"/>
      <x:c r="D124"/>
      <x:c r="E124"/>
      <x:c r="F124"/>
      <x:c r="G124"/>
      <x:c r="H124"/>
      <x:c r="I124"/>
      <x:c r="J124"/>
      <x:c r="K124"/>
      <x:c r="L124"/>
      <x:c r="M124"/>
    </x:row>
    <x:row r="125">
      <x:c r="A125"/>
      <x:c r="B125"/>
      <x:c r="C125"/>
      <x:c r="D125"/>
      <x:c r="E125"/>
      <x:c r="F125"/>
      <x:c r="G125"/>
      <x:c r="H125"/>
      <x:c r="I125"/>
      <x:c r="J125"/>
      <x:c r="K125"/>
      <x:c r="L125"/>
      <x:c r="M125"/>
    </x:row>
    <x:row r="126">
      <x:c r="A126"/>
      <x:c r="B126"/>
      <x:c r="C126"/>
      <x:c r="D126"/>
      <x:c r="E126"/>
      <x:c r="F126"/>
      <x:c r="G126"/>
      <x:c r="H126"/>
      <x:c r="I126"/>
      <x:c r="J126"/>
      <x:c r="K126"/>
      <x:c r="L126"/>
      <x:c r="M126"/>
    </x:row>
    <x:row r="127">
      <x:c r="A127"/>
      <x:c r="B127"/>
      <x:c r="C127"/>
      <x:c r="D127"/>
      <x:c r="E127"/>
      <x:c r="F127"/>
      <x:c r="G127"/>
      <x:c r="H127"/>
      <x:c r="I127"/>
      <x:c r="J127"/>
      <x:c r="K127"/>
      <x:c r="L127"/>
      <x:c r="M127"/>
    </x:row>
    <x:row r="128">
      <x:c r="A128"/>
      <x:c r="B128"/>
      <x:c r="C128"/>
      <x:c r="D128"/>
      <x:c r="E128"/>
      <x:c r="F128"/>
      <x:c r="G128"/>
      <x:c r="H128"/>
      <x:c r="I128"/>
      <x:c r="J128"/>
      <x:c r="K128"/>
      <x:c r="L128"/>
      <x:c r="M128"/>
    </x:row>
    <x:row r="129">
      <x:c r="A129"/>
      <x:c r="B129"/>
      <x:c r="C129"/>
      <x:c r="D129"/>
      <x:c r="E129"/>
      <x:c r="F129"/>
      <x:c r="G129"/>
      <x:c r="H129"/>
      <x:c r="I129"/>
      <x:c r="J129"/>
      <x:c r="K129"/>
      <x:c r="L129"/>
      <x:c r="M129"/>
    </x:row>
    <x:row r="130">
      <x:c r="A130"/>
      <x:c r="B130"/>
      <x:c r="C130"/>
      <x:c r="D130"/>
      <x:c r="E130"/>
      <x:c r="F130"/>
      <x:c r="G130"/>
      <x:c r="H130"/>
      <x:c r="I130"/>
      <x:c r="J130"/>
      <x:c r="K130"/>
      <x:c r="L130"/>
      <x:c r="M130"/>
    </x:row>
    <x:row r="131">
      <x:c r="A131"/>
      <x:c r="B131"/>
      <x:c r="C131"/>
      <x:c r="D131"/>
      <x:c r="E131"/>
      <x:c r="F131"/>
      <x:c r="G131"/>
      <x:c r="H131"/>
      <x:c r="I131"/>
      <x:c r="J131"/>
      <x:c r="K131"/>
      <x:c r="L131"/>
      <x:c r="M131"/>
    </x:row>
    <x:row r="132">
      <x:c r="A132"/>
      <x:c r="B132"/>
      <x:c r="C132"/>
      <x:c r="D132"/>
      <x:c r="E132"/>
      <x:c r="F132"/>
      <x:c r="G132"/>
      <x:c r="H132"/>
      <x:c r="I132"/>
      <x:c r="J132"/>
      <x:c r="K132"/>
      <x:c r="L132"/>
      <x:c r="M132"/>
    </x:row>
    <x:row r="133">
      <x:c r="A133"/>
      <x:c r="B133"/>
      <x:c r="C133"/>
      <x:c r="D133"/>
      <x:c r="E133"/>
      <x:c r="F133"/>
      <x:c r="G133"/>
      <x:c r="H133"/>
      <x:c r="I133"/>
      <x:c r="J133"/>
      <x:c r="K133"/>
      <x:c r="L133"/>
      <x:c r="M133"/>
    </x:row>
    <x:row r="134">
      <x:c r="A134"/>
      <x:c r="B134"/>
      <x:c r="C134"/>
      <x:c r="D134"/>
      <x:c r="E134"/>
      <x:c r="F134"/>
      <x:c r="G134"/>
      <x:c r="H134"/>
      <x:c r="I134"/>
      <x:c r="J134"/>
      <x:c r="K134"/>
      <x:c r="L134"/>
      <x:c r="M134"/>
    </x:row>
    <x:row r="135">
      <x:c r="A135"/>
      <x:c r="B135"/>
      <x:c r="C135"/>
      <x:c r="D135"/>
      <x:c r="E135"/>
      <x:c r="F135"/>
      <x:c r="G135"/>
      <x:c r="H135"/>
      <x:c r="I135"/>
      <x:c r="J135"/>
      <x:c r="K135"/>
      <x:c r="L135"/>
      <x:c r="M135"/>
    </x:row>
    <x:row r="136">
      <x:c r="A136"/>
      <x:c r="B136"/>
      <x:c r="C136"/>
      <x:c r="D136"/>
      <x:c r="E136"/>
      <x:c r="F136"/>
      <x:c r="G136"/>
      <x:c r="H136"/>
      <x:c r="I136"/>
      <x:c r="J136"/>
      <x:c r="K136"/>
      <x:c r="L136"/>
      <x:c r="M136"/>
    </x:row>
    <x:row r="137">
      <x:c r="A137"/>
      <x:c r="B137"/>
      <x:c r="C137"/>
      <x:c r="D137"/>
      <x:c r="E137"/>
      <x:c r="F137"/>
      <x:c r="G137"/>
      <x:c r="H137"/>
      <x:c r="I137"/>
      <x:c r="J137"/>
      <x:c r="K137"/>
      <x:c r="L137"/>
      <x:c r="M137"/>
    </x:row>
    <x:row r="138">
      <x:c r="A138"/>
      <x:c r="B138"/>
      <x:c r="C138"/>
      <x:c r="D138"/>
      <x:c r="E138"/>
      <x:c r="F138"/>
      <x:c r="G138"/>
      <x:c r="H138"/>
      <x:c r="I138"/>
      <x:c r="J138"/>
      <x:c r="K138"/>
      <x:c r="L138"/>
      <x:c r="M138"/>
    </x:row>
    <x:row r="139">
      <x:c r="A139"/>
      <x:c r="B139"/>
      <x:c r="C139"/>
      <x:c r="D139"/>
      <x:c r="E139"/>
      <x:c r="F139"/>
      <x:c r="G139"/>
      <x:c r="H139"/>
      <x:c r="I139"/>
      <x:c r="J139"/>
      <x:c r="K139"/>
      <x:c r="L139"/>
      <x:c r="M139"/>
    </x:row>
    <x:row r="140">
      <x:c r="A140"/>
      <x:c r="B140"/>
      <x:c r="C140"/>
      <x:c r="D140"/>
      <x:c r="E140"/>
      <x:c r="F140"/>
      <x:c r="G140"/>
      <x:c r="H140"/>
      <x:c r="I140"/>
      <x:c r="J140"/>
      <x:c r="K140"/>
      <x:c r="L140"/>
      <x:c r="M140"/>
    </x:row>
    <x:row r="141">
      <x:c r="A141"/>
      <x:c r="B141"/>
      <x:c r="C141"/>
      <x:c r="D141"/>
      <x:c r="E141"/>
      <x:c r="F141"/>
      <x:c r="G141"/>
      <x:c r="H141"/>
      <x:c r="I141"/>
      <x:c r="J141"/>
      <x:c r="K141"/>
      <x:c r="L141"/>
      <x:c r="M141"/>
    </x:row>
    <x:row r="142">
      <x:c r="A142"/>
      <x:c r="B142"/>
      <x:c r="C142"/>
      <x:c r="D142"/>
      <x:c r="E142"/>
      <x:c r="F142"/>
      <x:c r="G142"/>
      <x:c r="H142"/>
      <x:c r="I142"/>
      <x:c r="J142"/>
      <x:c r="K142"/>
      <x:c r="L142"/>
      <x:c r="M142"/>
    </x:row>
    <x:row r="143">
      <x:c r="A143"/>
      <x:c r="B143"/>
      <x:c r="C143"/>
      <x:c r="D143"/>
      <x:c r="E143"/>
      <x:c r="F143"/>
      <x:c r="G143"/>
      <x:c r="H143"/>
      <x:c r="I143"/>
      <x:c r="J143"/>
      <x:c r="K143"/>
      <x:c r="L143"/>
      <x:c r="M143"/>
    </x:row>
    <x:row r="144">
      <x:c r="A144"/>
      <x:c r="B144"/>
      <x:c r="C144"/>
      <x:c r="D144"/>
      <x:c r="E144"/>
      <x:c r="F144"/>
      <x:c r="G144"/>
      <x:c r="H144"/>
      <x:c r="I144"/>
      <x:c r="J144"/>
      <x:c r="K144"/>
      <x:c r="L144"/>
      <x:c r="M144"/>
    </x:row>
    <x:row r="145">
      <x:c r="A145"/>
      <x:c r="B145"/>
      <x:c r="C145"/>
      <x:c r="D145"/>
      <x:c r="E145"/>
      <x:c r="F145"/>
      <x:c r="G145"/>
      <x:c r="H145"/>
      <x:c r="I145"/>
      <x:c r="J145"/>
      <x:c r="K145"/>
      <x:c r="L145"/>
      <x:c r="M145"/>
    </x:row>
    <x:row r="146">
      <x:c r="A146"/>
      <x:c r="B146"/>
      <x:c r="C146"/>
      <x:c r="D146"/>
      <x:c r="E146"/>
      <x:c r="F146"/>
      <x:c r="G146"/>
      <x:c r="H146"/>
      <x:c r="I146"/>
      <x:c r="J146"/>
      <x:c r="K146"/>
      <x:c r="L146"/>
      <x:c r="M146"/>
    </x:row>
    <x:row r="147">
      <x:c r="A147"/>
      <x:c r="B147"/>
      <x:c r="C147"/>
      <x:c r="D147"/>
      <x:c r="E147"/>
      <x:c r="F147"/>
      <x:c r="G147"/>
      <x:c r="H147"/>
      <x:c r="I147"/>
      <x:c r="J147"/>
      <x:c r="K147"/>
      <x:c r="L147"/>
      <x:c r="M147"/>
    </x:row>
    <x:row r="148">
      <x:c r="A148"/>
      <x:c r="B148"/>
      <x:c r="C148"/>
      <x:c r="D148"/>
      <x:c r="E148"/>
      <x:c r="F148"/>
      <x:c r="G148"/>
      <x:c r="H148"/>
      <x:c r="I148"/>
      <x:c r="J148"/>
      <x:c r="K148"/>
      <x:c r="L148"/>
      <x:c r="M148"/>
    </x:row>
    <x:row r="149">
      <x:c r="A149"/>
      <x:c r="B149"/>
      <x:c r="C149"/>
      <x:c r="D149"/>
      <x:c r="E149"/>
      <x:c r="F149"/>
      <x:c r="G149"/>
      <x:c r="H149"/>
      <x:c r="I149"/>
      <x:c r="J149"/>
      <x:c r="K149"/>
      <x:c r="L149"/>
      <x:c r="M149"/>
    </x:row>
    <x:row r="150">
      <x:c r="A150"/>
      <x:c r="B150"/>
      <x:c r="C150"/>
      <x:c r="D150"/>
      <x:c r="E150"/>
      <x:c r="F150"/>
      <x:c r="G150"/>
      <x:c r="H150"/>
      <x:c r="I150"/>
      <x:c r="J150"/>
      <x:c r="K150"/>
      <x:c r="L150"/>
      <x:c r="M150"/>
    </x:row>
    <x:row r="151">
      <x:c r="A151"/>
      <x:c r="B151"/>
      <x:c r="C151"/>
      <x:c r="D151"/>
      <x:c r="E151"/>
      <x:c r="F151"/>
      <x:c r="G151"/>
      <x:c r="H151"/>
      <x:c r="I151"/>
      <x:c r="J151"/>
      <x:c r="K151"/>
      <x:c r="L151"/>
      <x:c r="M151"/>
    </x:row>
    <x:row r="152">
      <x:c r="A152"/>
      <x:c r="B152"/>
      <x:c r="C152"/>
      <x:c r="D152"/>
      <x:c r="E152"/>
      <x:c r="F152"/>
      <x:c r="G152"/>
      <x:c r="H152"/>
      <x:c r="I152"/>
      <x:c r="J152"/>
      <x:c r="K152"/>
      <x:c r="L152"/>
      <x:c r="M152"/>
    </x:row>
    <x:row r="153">
      <x:c r="A153"/>
      <x:c r="B153"/>
      <x:c r="C153"/>
      <x:c r="D153"/>
      <x:c r="E153"/>
      <x:c r="F153"/>
      <x:c r="G153"/>
      <x:c r="H153"/>
      <x:c r="I153"/>
      <x:c r="J153"/>
      <x:c r="K153"/>
      <x:c r="L153"/>
      <x:c r="M153"/>
    </x:row>
    <x:row r="154">
      <x:c r="A154"/>
      <x:c r="B154"/>
      <x:c r="C154"/>
      <x:c r="D154"/>
      <x:c r="E154"/>
      <x:c r="F154"/>
      <x:c r="G154"/>
      <x:c r="H154"/>
      <x:c r="I154"/>
      <x:c r="J154"/>
      <x:c r="K154"/>
      <x:c r="L154"/>
      <x:c r="M154"/>
    </x:row>
    <x:row r="155">
      <x:c r="A155"/>
      <x:c r="B155"/>
      <x:c r="C155"/>
      <x:c r="D155"/>
      <x:c r="E155"/>
      <x:c r="F155"/>
      <x:c r="G155"/>
      <x:c r="H155"/>
      <x:c r="I155"/>
      <x:c r="J155"/>
      <x:c r="K155"/>
      <x:c r="L155"/>
      <x:c r="M155"/>
    </x:row>
    <x:row r="156">
      <x:c r="A156"/>
      <x:c r="B156"/>
      <x:c r="C156"/>
      <x:c r="D156"/>
      <x:c r="E156"/>
      <x:c r="F156"/>
      <x:c r="G156"/>
      <x:c r="H156"/>
      <x:c r="I156"/>
      <x:c r="J156"/>
      <x:c r="K156"/>
      <x:c r="L156"/>
      <x:c r="M156"/>
    </x:row>
    <x:row r="157">
      <x:c r="A157"/>
      <x:c r="B157"/>
      <x:c r="C157"/>
      <x:c r="D157"/>
      <x:c r="E157"/>
      <x:c r="F157"/>
      <x:c r="G157"/>
      <x:c r="H157"/>
      <x:c r="I157"/>
      <x:c r="J157"/>
      <x:c r="K157"/>
      <x:c r="L157"/>
      <x:c r="M157"/>
    </x:row>
    <x:row r="158">
      <x:c r="A158"/>
      <x:c r="B158"/>
      <x:c r="C158"/>
      <x:c r="D158"/>
      <x:c r="E158"/>
      <x:c r="F158"/>
      <x:c r="G158"/>
      <x:c r="H158"/>
      <x:c r="I158"/>
      <x:c r="J158"/>
      <x:c r="K158"/>
      <x:c r="L158"/>
      <x:c r="M158"/>
    </x:row>
    <x:row r="159">
      <x:c r="A159"/>
      <x:c r="B159"/>
      <x:c r="C159"/>
      <x:c r="D159"/>
      <x:c r="E159"/>
      <x:c r="F159"/>
      <x:c r="G159"/>
      <x:c r="H159"/>
      <x:c r="I159"/>
      <x:c r="J159"/>
      <x:c r="K159"/>
      <x:c r="L159"/>
      <x:c r="M159"/>
    </x:row>
    <x:row r="160">
      <x:c r="A160"/>
      <x:c r="B160"/>
      <x:c r="C160"/>
      <x:c r="D160"/>
      <x:c r="E160"/>
      <x:c r="F160"/>
      <x:c r="G160"/>
      <x:c r="H160"/>
      <x:c r="I160"/>
      <x:c r="J160"/>
      <x:c r="K160"/>
      <x:c r="L160"/>
      <x:c r="M160"/>
    </x:row>
    <x:row r="161">
      <x:c r="A161"/>
      <x:c r="B161"/>
      <x:c r="C161"/>
      <x:c r="D161"/>
      <x:c r="E161"/>
      <x:c r="F161"/>
      <x:c r="G161"/>
      <x:c r="H161"/>
      <x:c r="I161"/>
      <x:c r="J161"/>
      <x:c r="K161"/>
      <x:c r="L161"/>
      <x:c r="M161"/>
    </x:row>
    <x:row r="162">
      <x:c r="A162"/>
      <x:c r="B162"/>
      <x:c r="C162"/>
      <x:c r="D162"/>
      <x:c r="E162"/>
      <x:c r="F162"/>
      <x:c r="G162"/>
      <x:c r="H162"/>
      <x:c r="I162"/>
      <x:c r="J162"/>
      <x:c r="K162"/>
      <x:c r="L162"/>
      <x:c r="M162"/>
    </x:row>
    <x:row r="163">
      <x:c r="A163"/>
      <x:c r="B163"/>
      <x:c r="C163"/>
      <x:c r="D163"/>
      <x:c r="E163"/>
      <x:c r="F163"/>
      <x:c r="G163"/>
      <x:c r="H163"/>
      <x:c r="I163"/>
      <x:c r="J163"/>
      <x:c r="K163"/>
      <x:c r="L163"/>
      <x:c r="M163"/>
    </x:row>
    <x:row r="164">
      <x:c r="A164"/>
      <x:c r="B164"/>
      <x:c r="C164"/>
      <x:c r="D164"/>
      <x:c r="E164"/>
      <x:c r="F164"/>
      <x:c r="G164"/>
      <x:c r="H164"/>
      <x:c r="I164"/>
      <x:c r="J164"/>
      <x:c r="K164"/>
      <x:c r="L164"/>
      <x:c r="M164"/>
    </x:row>
    <x:row r="165">
      <x:c r="A165"/>
      <x:c r="B165"/>
      <x:c r="C165"/>
      <x:c r="D165"/>
      <x:c r="E165"/>
      <x:c r="F165"/>
      <x:c r="G165"/>
      <x:c r="H165"/>
      <x:c r="I165"/>
      <x:c r="J165"/>
      <x:c r="K165"/>
      <x:c r="L165"/>
      <x:c r="M165"/>
    </x:row>
    <x:row r="166">
      <x:c r="A166"/>
      <x:c r="B166"/>
      <x:c r="C166"/>
      <x:c r="D166"/>
      <x:c r="E166"/>
      <x:c r="F166"/>
      <x:c r="G166"/>
      <x:c r="H166"/>
      <x:c r="I166"/>
      <x:c r="J166"/>
      <x:c r="K166"/>
      <x:c r="L166"/>
      <x:c r="M166"/>
    </x:row>
    <x:row r="167">
      <x:c r="A167"/>
      <x:c r="B167"/>
      <x:c r="C167"/>
      <x:c r="D167"/>
      <x:c r="E167"/>
      <x:c r="F167"/>
      <x:c r="G167"/>
      <x:c r="H167"/>
      <x:c r="I167"/>
      <x:c r="J167"/>
      <x:c r="K167"/>
      <x:c r="L167"/>
      <x:c r="M167"/>
    </x:row>
    <x:row r="168">
      <x:c r="A168"/>
      <x:c r="B168"/>
      <x:c r="C168"/>
      <x:c r="D168"/>
      <x:c r="E168"/>
      <x:c r="F168"/>
      <x:c r="G168"/>
      <x:c r="H168"/>
      <x:c r="I168"/>
      <x:c r="J168"/>
      <x:c r="K168"/>
      <x:c r="L168"/>
      <x:c r="M168"/>
    </x:row>
    <x:row r="169">
      <x:c r="A169"/>
      <x:c r="B169"/>
      <x:c r="C169"/>
      <x:c r="D169"/>
      <x:c r="E169"/>
      <x:c r="F169"/>
      <x:c r="G169"/>
      <x:c r="H169"/>
      <x:c r="I169"/>
      <x:c r="J169"/>
      <x:c r="K169"/>
      <x:c r="L169"/>
      <x:c r="M169"/>
    </x:row>
    <x:row r="170">
      <x:c r="A170"/>
      <x:c r="B170"/>
      <x:c r="C170"/>
      <x:c r="D170"/>
      <x:c r="E170"/>
      <x:c r="F170"/>
      <x:c r="G170"/>
      <x:c r="H170"/>
      <x:c r="I170"/>
      <x:c r="J170"/>
      <x:c r="K170"/>
      <x:c r="L170"/>
      <x:c r="M170"/>
    </x:row>
    <x:row r="171">
      <x:c r="A171"/>
      <x:c r="B171"/>
      <x:c r="C171"/>
      <x:c r="D171"/>
      <x:c r="E171"/>
      <x:c r="F171"/>
      <x:c r="G171"/>
      <x:c r="H171"/>
      <x:c r="I171"/>
      <x:c r="J171"/>
      <x:c r="K171"/>
      <x:c r="L171"/>
      <x:c r="M171"/>
    </x:row>
    <x:row r="172">
      <x:c r="A172"/>
      <x:c r="B172"/>
      <x:c r="C172"/>
      <x:c r="D172"/>
      <x:c r="E172"/>
      <x:c r="F172"/>
      <x:c r="G172"/>
      <x:c r="H172"/>
      <x:c r="I172"/>
      <x:c r="J172"/>
      <x:c r="K172"/>
      <x:c r="L172"/>
      <x:c r="M172"/>
    </x:row>
    <x:row r="173">
      <x:c r="A173"/>
      <x:c r="B173"/>
      <x:c r="C173"/>
      <x:c r="D173"/>
      <x:c r="E173"/>
      <x:c r="F173"/>
      <x:c r="G173"/>
      <x:c r="H173"/>
      <x:c r="I173"/>
      <x:c r="J173"/>
      <x:c r="K173"/>
      <x:c r="L173"/>
      <x:c r="M173"/>
    </x:row>
    <x:row r="174">
      <x:c r="A174"/>
      <x:c r="B174"/>
      <x:c r="C174"/>
      <x:c r="D174"/>
      <x:c r="E174"/>
      <x:c r="F174"/>
      <x:c r="G174"/>
      <x:c r="H174"/>
      <x:c r="I174"/>
      <x:c r="J174"/>
      <x:c r="K174"/>
      <x:c r="L174"/>
      <x:c r="M174"/>
    </x:row>
    <x:row r="175">
      <x:c r="A175"/>
      <x:c r="B175"/>
      <x:c r="C175"/>
      <x:c r="D175"/>
      <x:c r="E175"/>
      <x:c r="F175"/>
      <x:c r="G175"/>
      <x:c r="H175"/>
      <x:c r="I175"/>
      <x:c r="J175"/>
      <x:c r="K175"/>
      <x:c r="L175"/>
      <x:c r="M175"/>
    </x:row>
    <x:row r="176">
      <x:c r="A176"/>
      <x:c r="B176"/>
      <x:c r="C176"/>
      <x:c r="D176"/>
      <x:c r="E176"/>
      <x:c r="F176"/>
      <x:c r="G176"/>
      <x:c r="H176"/>
      <x:c r="I176"/>
      <x:c r="J176"/>
      <x:c r="K176"/>
      <x:c r="L176"/>
      <x:c r="M176"/>
    </x:row>
    <x:row r="177">
      <x:c r="A177"/>
      <x:c r="B177"/>
      <x:c r="C177"/>
      <x:c r="D177"/>
      <x:c r="E177"/>
      <x:c r="F177"/>
      <x:c r="G177"/>
      <x:c r="H177"/>
      <x:c r="I177"/>
      <x:c r="J177"/>
      <x:c r="K177"/>
      <x:c r="L177"/>
      <x:c r="M177"/>
    </x:row>
    <x:row r="178">
      <x:c r="A178"/>
      <x:c r="B178"/>
      <x:c r="C178"/>
      <x:c r="D178"/>
      <x:c r="E178"/>
      <x:c r="F178"/>
      <x:c r="G178"/>
      <x:c r="H178"/>
      <x:c r="I178"/>
      <x:c r="J178"/>
      <x:c r="K178"/>
      <x:c r="L178"/>
      <x:c r="M178"/>
    </x:row>
    <x:row r="179">
      <x:c r="A179"/>
      <x:c r="B179"/>
      <x:c r="C179"/>
      <x:c r="D179"/>
      <x:c r="E179"/>
      <x:c r="F179"/>
      <x:c r="G179"/>
      <x:c r="H179"/>
      <x:c r="I179"/>
      <x:c r="J179"/>
      <x:c r="K179"/>
      <x:c r="L179"/>
      <x:c r="M179"/>
    </x:row>
    <x:row r="180">
      <x:c r="A180"/>
      <x:c r="B180"/>
      <x:c r="C180"/>
      <x:c r="D180"/>
      <x:c r="E180"/>
      <x:c r="F180"/>
      <x:c r="G180"/>
      <x:c r="H180"/>
      <x:c r="I180"/>
      <x:c r="J180"/>
      <x:c r="K180"/>
      <x:c r="L180"/>
      <x:c r="M180"/>
    </x:row>
    <x:row r="181">
      <x:c r="A181"/>
      <x:c r="B181"/>
      <x:c r="C181"/>
      <x:c r="D181"/>
      <x:c r="E181"/>
      <x:c r="F181"/>
      <x:c r="G181"/>
      <x:c r="H181"/>
      <x:c r="I181"/>
      <x:c r="J181"/>
      <x:c r="K181"/>
      <x:c r="L181"/>
      <x:c r="M181"/>
    </x:row>
    <x:row r="182">
      <x:c r="A182"/>
      <x:c r="B182"/>
      <x:c r="C182"/>
      <x:c r="D182"/>
      <x:c r="E182"/>
      <x:c r="F182"/>
      <x:c r="G182"/>
      <x:c r="H182"/>
      <x:c r="I182"/>
      <x:c r="J182"/>
      <x:c r="K182"/>
      <x:c r="L182"/>
      <x:c r="M182"/>
    </x:row>
    <x:row r="183">
      <x:c r="A183"/>
      <x:c r="B183"/>
      <x:c r="C183"/>
      <x:c r="D183"/>
      <x:c r="E183"/>
      <x:c r="F183"/>
      <x:c r="G183"/>
      <x:c r="H183"/>
      <x:c r="I183"/>
      <x:c r="J183"/>
      <x:c r="K183"/>
      <x:c r="L183"/>
      <x:c r="M183"/>
    </x:row>
    <x:row r="184">
      <x:c r="A184"/>
      <x:c r="B184"/>
      <x:c r="C184"/>
      <x:c r="D184"/>
      <x:c r="E184"/>
      <x:c r="F184"/>
      <x:c r="G184"/>
      <x:c r="H184"/>
      <x:c r="I184"/>
      <x:c r="J184"/>
      <x:c r="K184"/>
      <x:c r="L184"/>
      <x:c r="M184"/>
    </x:row>
    <x:row r="185">
      <x:c r="A185"/>
      <x:c r="B185"/>
      <x:c r="C185"/>
      <x:c r="D185"/>
      <x:c r="E185"/>
      <x:c r="F185"/>
      <x:c r="G185"/>
      <x:c r="H185"/>
      <x:c r="I185"/>
      <x:c r="J185"/>
      <x:c r="K185"/>
      <x:c r="L185"/>
      <x:c r="M185"/>
    </x:row>
    <x:row r="186">
      <x:c r="A186"/>
      <x:c r="B186"/>
      <x:c r="C186"/>
      <x:c r="D186"/>
      <x:c r="E186"/>
      <x:c r="F186"/>
      <x:c r="G186"/>
      <x:c r="H186"/>
      <x:c r="I186"/>
      <x:c r="J186"/>
      <x:c r="K186"/>
      <x:c r="L186"/>
      <x:c r="M186"/>
    </x:row>
    <x:row r="187">
      <x:c r="A187"/>
      <x:c r="B187"/>
      <x:c r="C187"/>
      <x:c r="D187"/>
      <x:c r="E187"/>
      <x:c r="F187"/>
      <x:c r="G187"/>
      <x:c r="H187"/>
      <x:c r="I187"/>
      <x:c r="J187"/>
      <x:c r="K187"/>
      <x:c r="L187"/>
      <x:c r="M187"/>
    </x:row>
    <x:row r="188">
      <x:c r="A188"/>
      <x:c r="B188"/>
      <x:c r="C188"/>
      <x:c r="D188"/>
      <x:c r="E188"/>
      <x:c r="F188"/>
      <x:c r="G188"/>
      <x:c r="H188"/>
      <x:c r="I188"/>
      <x:c r="J188"/>
      <x:c r="K188"/>
      <x:c r="L188"/>
      <x:c r="M188"/>
    </x:row>
    <x:row r="189">
      <x:c r="A189"/>
      <x:c r="B189"/>
      <x:c r="C189"/>
      <x:c r="D189"/>
      <x:c r="E189"/>
      <x:c r="F189"/>
      <x:c r="G189"/>
      <x:c r="H189"/>
      <x:c r="I189"/>
      <x:c r="J189"/>
      <x:c r="K189"/>
      <x:c r="L189"/>
      <x:c r="M189"/>
    </x:row>
    <x:row r="190">
      <x:c r="A190"/>
      <x:c r="B190"/>
      <x:c r="C190"/>
      <x:c r="D190"/>
      <x:c r="E190"/>
      <x:c r="F190"/>
      <x:c r="G190"/>
      <x:c r="H190"/>
      <x:c r="I190"/>
      <x:c r="J190"/>
      <x:c r="K190"/>
      <x:c r="L190"/>
      <x:c r="M190"/>
    </x:row>
    <x:row r="191">
      <x:c r="A191"/>
      <x:c r="B191"/>
      <x:c r="C191"/>
      <x:c r="D191"/>
      <x:c r="E191"/>
      <x:c r="F191"/>
      <x:c r="G191"/>
      <x:c r="H191"/>
      <x:c r="I191"/>
      <x:c r="J191"/>
      <x:c r="K191"/>
      <x:c r="L191"/>
      <x:c r="M191"/>
    </x:row>
    <x:row r="192">
      <x:c r="A192"/>
      <x:c r="B192"/>
      <x:c r="C192"/>
      <x:c r="D192"/>
      <x:c r="E192"/>
      <x:c r="F192"/>
      <x:c r="G192"/>
      <x:c r="H192"/>
      <x:c r="I192"/>
      <x:c r="J192"/>
      <x:c r="K192"/>
      <x:c r="L192"/>
      <x:c r="M192"/>
    </x:row>
    <x:row r="193">
      <x:c r="A193"/>
      <x:c r="B193"/>
      <x:c r="C193"/>
      <x:c r="D193"/>
      <x:c r="E193"/>
      <x:c r="F193"/>
      <x:c r="G193"/>
      <x:c r="H193"/>
      <x:c r="I193"/>
      <x:c r="J193"/>
      <x:c r="K193"/>
      <x:c r="L193"/>
      <x:c r="M193"/>
    </x:row>
    <x:row r="194">
      <x:c r="A194"/>
      <x:c r="B194"/>
      <x:c r="C194"/>
      <x:c r="D194"/>
      <x:c r="E194"/>
      <x:c r="F194"/>
      <x:c r="G194"/>
      <x:c r="H194"/>
      <x:c r="I194"/>
      <x:c r="J194"/>
      <x:c r="K194"/>
      <x:c r="L194"/>
      <x:c r="M194"/>
    </x:row>
    <x:row r="195">
      <x:c r="A195"/>
      <x:c r="B195"/>
      <x:c r="C195"/>
      <x:c r="D195"/>
      <x:c r="E195"/>
      <x:c r="F195"/>
      <x:c r="G195"/>
      <x:c r="H195"/>
      <x:c r="I195"/>
      <x:c r="J195"/>
      <x:c r="K195"/>
      <x:c r="L195"/>
      <x:c r="M195"/>
    </x:row>
    <x:row r="196">
      <x:c r="A196"/>
      <x:c r="B196"/>
      <x:c r="C196"/>
      <x:c r="D196"/>
      <x:c r="E196"/>
      <x:c r="F196"/>
      <x:c r="G196"/>
      <x:c r="H196"/>
      <x:c r="I196"/>
      <x:c r="J196"/>
      <x:c r="K196"/>
      <x:c r="L196"/>
      <x:c r="M196"/>
    </x:row>
    <x:row r="197">
      <x:c r="A197"/>
      <x:c r="B197"/>
      <x:c r="C197"/>
      <x:c r="D197"/>
      <x:c r="E197"/>
      <x:c r="F197"/>
      <x:c r="G197"/>
      <x:c r="H197"/>
      <x:c r="I197"/>
      <x:c r="J197"/>
      <x:c r="K197"/>
      <x:c r="L197"/>
      <x:c r="M197"/>
    </x:row>
    <x:row r="198">
      <x:c r="A198"/>
      <x:c r="B198"/>
      <x:c r="C198"/>
      <x:c r="D198"/>
      <x:c r="E198"/>
      <x:c r="F198"/>
      <x:c r="G198"/>
      <x:c r="H198"/>
      <x:c r="I198"/>
      <x:c r="J198"/>
      <x:c r="K198"/>
      <x:c r="L198"/>
      <x:c r="M198"/>
    </x:row>
    <x:row r="199">
      <x:c r="A199"/>
      <x:c r="B199"/>
      <x:c r="C199"/>
      <x:c r="D199"/>
      <x:c r="E199"/>
      <x:c r="F199"/>
      <x:c r="G199"/>
      <x:c r="H199"/>
      <x:c r="I199"/>
      <x:c r="J199"/>
      <x:c r="K199"/>
      <x:c r="L199"/>
      <x:c r="M199"/>
    </x:row>
    <x:row r="200">
      <x:c r="A200"/>
      <x:c r="B200"/>
      <x:c r="C200"/>
      <x:c r="D200"/>
      <x:c r="E200"/>
      <x:c r="F200"/>
      <x:c r="G200"/>
      <x:c r="H200"/>
      <x:c r="I200"/>
      <x:c r="J200"/>
      <x:c r="K200"/>
      <x:c r="L200"/>
      <x:c r="M200"/>
    </x:row>
    <x:row r="201">
      <x:c r="A201"/>
      <x:c r="B201"/>
      <x:c r="C201"/>
      <x:c r="D201"/>
      <x:c r="E201"/>
      <x:c r="F201"/>
      <x:c r="G201"/>
      <x:c r="H201"/>
      <x:c r="I201"/>
      <x:c r="J201"/>
      <x:c r="K201"/>
      <x:c r="L201"/>
      <x:c r="M201"/>
    </x:row>
    <x:row r="202">
      <x:c r="A202"/>
      <x:c r="B202"/>
      <x:c r="C202"/>
      <x:c r="D202"/>
      <x:c r="E202"/>
      <x:c r="F202"/>
      <x:c r="G202"/>
      <x:c r="H202"/>
      <x:c r="I202"/>
      <x:c r="J202"/>
      <x:c r="K202"/>
      <x:c r="L202"/>
      <x:c r="M202"/>
    </x:row>
    <x:row r="203">
      <x:c r="A203"/>
      <x:c r="B203"/>
      <x:c r="C203"/>
      <x:c r="D203"/>
      <x:c r="E203"/>
      <x:c r="F203"/>
      <x:c r="G203"/>
      <x:c r="H203"/>
      <x:c r="I203"/>
      <x:c r="J203"/>
      <x:c r="K203"/>
      <x:c r="L203"/>
      <x:c r="M203"/>
    </x:row>
    <x:row r="204">
      <x:c r="A204"/>
      <x:c r="B204"/>
      <x:c r="C204"/>
      <x:c r="D204"/>
      <x:c r="E204"/>
      <x:c r="F204"/>
      <x:c r="G204"/>
      <x:c r="H204"/>
      <x:c r="I204"/>
      <x:c r="J204"/>
      <x:c r="K204"/>
      <x:c r="L204"/>
      <x:c r="M204"/>
    </x:row>
    <x:row r="205">
      <x:c r="A205"/>
      <x:c r="B205"/>
      <x:c r="C205"/>
      <x:c r="D205"/>
      <x:c r="E205"/>
      <x:c r="F205"/>
      <x:c r="G205"/>
      <x:c r="H205"/>
      <x:c r="I205"/>
      <x:c r="J205"/>
      <x:c r="K205"/>
      <x:c r="L205"/>
      <x:c r="M205"/>
    </x:row>
    <x:row r="206">
      <x:c r="A206"/>
      <x:c r="B206"/>
      <x:c r="C206"/>
      <x:c r="D206"/>
      <x:c r="E206"/>
      <x:c r="F206"/>
      <x:c r="G206"/>
      <x:c r="H206"/>
      <x:c r="I206"/>
      <x:c r="J206"/>
      <x:c r="K206"/>
      <x:c r="L206"/>
      <x:c r="M206"/>
    </x:row>
    <x:row r="207">
      <x:c r="A207"/>
      <x:c r="B207"/>
      <x:c r="C207"/>
      <x:c r="D207"/>
      <x:c r="E207"/>
      <x:c r="F207"/>
      <x:c r="G207"/>
      <x:c r="H207"/>
      <x:c r="I207"/>
      <x:c r="J207"/>
      <x:c r="K207"/>
      <x:c r="L207"/>
      <x:c r="M207"/>
    </x:row>
    <x:row r="208">
      <x:c r="A208"/>
      <x:c r="B208"/>
      <x:c r="C208"/>
      <x:c r="D208"/>
      <x:c r="E208"/>
      <x:c r="F208"/>
      <x:c r="G208"/>
      <x:c r="H208"/>
      <x:c r="I208"/>
      <x:c r="J208"/>
      <x:c r="K208"/>
      <x:c r="L208"/>
      <x:c r="M208"/>
    </x:row>
    <x:row r="209">
      <x:c r="A209"/>
      <x:c r="B209"/>
      <x:c r="C209"/>
      <x:c r="D209"/>
      <x:c r="E209"/>
      <x:c r="F209"/>
      <x:c r="G209"/>
      <x:c r="H209"/>
      <x:c r="I209"/>
      <x:c r="J209"/>
      <x:c r="K209"/>
      <x:c r="L209"/>
      <x:c r="M209"/>
    </x:row>
    <x:row r="210">
      <x:c r="A210"/>
      <x:c r="B210"/>
      <x:c r="C210"/>
      <x:c r="D210"/>
      <x:c r="E210"/>
      <x:c r="F210"/>
      <x:c r="G210"/>
      <x:c r="H210"/>
      <x:c r="I210"/>
      <x:c r="J210"/>
      <x:c r="K210"/>
      <x:c r="L210"/>
      <x:c r="M210"/>
    </x:row>
    <x:row r="211">
      <x:c r="A211"/>
      <x:c r="B211"/>
      <x:c r="C211"/>
      <x:c r="D211"/>
      <x:c r="E211"/>
      <x:c r="F211"/>
      <x:c r="G211"/>
      <x:c r="H211"/>
      <x:c r="I211"/>
      <x:c r="J211"/>
      <x:c r="K211"/>
      <x:c r="L211"/>
      <x:c r="M211"/>
    </x:row>
    <x:row r="212">
      <x:c r="A212"/>
      <x:c r="B212"/>
      <x:c r="C212"/>
      <x:c r="D212"/>
      <x:c r="E212"/>
      <x:c r="F212"/>
      <x:c r="G212"/>
      <x:c r="H212"/>
      <x:c r="I212"/>
      <x:c r="J212"/>
      <x:c r="K212"/>
      <x:c r="L212"/>
      <x:c r="M212"/>
    </x:row>
    <x:row r="213">
      <x:c r="A213"/>
      <x:c r="B213"/>
      <x:c r="C213"/>
      <x:c r="D213"/>
      <x:c r="E213"/>
      <x:c r="F213"/>
      <x:c r="G213"/>
      <x:c r="H213"/>
      <x:c r="I213"/>
      <x:c r="J213"/>
      <x:c r="K213"/>
      <x:c r="L213"/>
      <x:c r="M213"/>
    </x:row>
    <x:row r="214">
      <x:c r="A214"/>
      <x:c r="B214"/>
      <x:c r="C214"/>
      <x:c r="D214"/>
      <x:c r="E214"/>
      <x:c r="F214"/>
      <x:c r="G214"/>
      <x:c r="H214"/>
      <x:c r="I214"/>
      <x:c r="J214"/>
      <x:c r="K214"/>
      <x:c r="L214"/>
      <x:c r="M214"/>
    </x:row>
    <x:row r="215">
      <x:c r="A215"/>
      <x:c r="B215"/>
      <x:c r="C215"/>
      <x:c r="D215"/>
      <x:c r="E215"/>
      <x:c r="F215"/>
      <x:c r="G215"/>
      <x:c r="H215"/>
      <x:c r="I215"/>
      <x:c r="J215"/>
      <x:c r="K215"/>
      <x:c r="L215"/>
      <x:c r="M215"/>
    </x:row>
    <x:row r="216">
      <x:c r="A216"/>
      <x:c r="B216"/>
      <x:c r="C216"/>
      <x:c r="D216"/>
      <x:c r="E216"/>
      <x:c r="F216"/>
      <x:c r="G216"/>
      <x:c r="H216"/>
      <x:c r="I216"/>
      <x:c r="J216"/>
      <x:c r="K216"/>
      <x:c r="L216"/>
      <x:c r="M216"/>
    </x:row>
    <x:row r="217">
      <x:c r="A217"/>
      <x:c r="B217"/>
      <x:c r="C217"/>
      <x:c r="D217"/>
      <x:c r="E217"/>
      <x:c r="F217"/>
      <x:c r="G217"/>
      <x:c r="H217"/>
      <x:c r="I217"/>
      <x:c r="J217"/>
      <x:c r="K217"/>
      <x:c r="L217"/>
      <x:c r="M217"/>
    </x:row>
    <x:row r="218">
      <x:c r="A218"/>
      <x:c r="B218"/>
      <x:c r="C218"/>
      <x:c r="D218"/>
      <x:c r="E218"/>
      <x:c r="F218"/>
      <x:c r="G218"/>
      <x:c r="H218"/>
      <x:c r="I218"/>
      <x:c r="J218"/>
      <x:c r="K218"/>
      <x:c r="L218"/>
      <x:c r="M218"/>
    </x:row>
    <x:row r="219">
      <x:c r="A219"/>
      <x:c r="B219"/>
      <x:c r="C219"/>
      <x:c r="D219"/>
      <x:c r="E219"/>
      <x:c r="F219"/>
      <x:c r="G219"/>
      <x:c r="H219"/>
      <x:c r="I219"/>
      <x:c r="J219"/>
      <x:c r="K219"/>
      <x:c r="L219"/>
      <x:c r="M219"/>
    </x:row>
    <x:row r="220">
      <x:c r="A220"/>
      <x:c r="B220"/>
      <x:c r="C220"/>
      <x:c r="D220"/>
      <x:c r="E220"/>
      <x:c r="F220"/>
      <x:c r="G220"/>
      <x:c r="H220"/>
      <x:c r="I220"/>
      <x:c r="J220"/>
      <x:c r="K220"/>
      <x:c r="L220"/>
      <x:c r="M220"/>
    </x:row>
    <x:row r="221">
      <x:c r="A221"/>
      <x:c r="B221"/>
      <x:c r="C221"/>
      <x:c r="D221"/>
      <x:c r="E221"/>
      <x:c r="F221"/>
      <x:c r="G221"/>
      <x:c r="H221"/>
      <x:c r="I221"/>
      <x:c r="J221"/>
      <x:c r="K221"/>
      <x:c r="L221"/>
      <x:c r="M221"/>
    </x:row>
    <x:row r="222">
      <x:c r="A222"/>
      <x:c r="B222"/>
      <x:c r="C222"/>
      <x:c r="D222"/>
      <x:c r="E222"/>
      <x:c r="F222"/>
      <x:c r="G222"/>
      <x:c r="H222"/>
      <x:c r="I222"/>
      <x:c r="J222"/>
      <x:c r="K222"/>
      <x:c r="L222"/>
      <x:c r="M222"/>
    </x:row>
    <x:row r="223">
      <x:c r="A223"/>
      <x:c r="B223"/>
      <x:c r="C223"/>
      <x:c r="D223"/>
      <x:c r="E223"/>
      <x:c r="F223"/>
      <x:c r="G223"/>
      <x:c r="H223"/>
      <x:c r="I223"/>
      <x:c r="J223"/>
      <x:c r="K223"/>
      <x:c r="L223"/>
      <x:c r="M223"/>
    </x:row>
    <x:row r="224">
      <x:c r="A224"/>
      <x:c r="B224"/>
      <x:c r="C224"/>
      <x:c r="D224"/>
      <x:c r="E224"/>
      <x:c r="F224"/>
      <x:c r="G224"/>
      <x:c r="H224"/>
      <x:c r="I224"/>
      <x:c r="J224"/>
      <x:c r="K224"/>
      <x:c r="L224"/>
      <x:c r="M224"/>
    </x:row>
    <x:row r="225">
      <x:c r="A225"/>
      <x:c r="B225"/>
      <x:c r="C225"/>
      <x:c r="D225"/>
      <x:c r="E225"/>
      <x:c r="F225"/>
      <x:c r="G225"/>
      <x:c r="H225"/>
      <x:c r="I225"/>
      <x:c r="J225"/>
      <x:c r="K225"/>
      <x:c r="L225"/>
      <x:c r="M225"/>
    </x:row>
    <x:row r="226">
      <x:c r="A226"/>
      <x:c r="B226"/>
      <x:c r="C226"/>
      <x:c r="D226"/>
      <x:c r="E226"/>
      <x:c r="F226"/>
      <x:c r="G226"/>
      <x:c r="H226"/>
      <x:c r="I226"/>
      <x:c r="J226"/>
      <x:c r="K226"/>
      <x:c r="L226"/>
      <x:c r="M226"/>
    </x:row>
    <x:row r="227">
      <x:c r="A227"/>
      <x:c r="B227"/>
      <x:c r="C227"/>
      <x:c r="D227"/>
      <x:c r="E227"/>
      <x:c r="F227"/>
      <x:c r="G227"/>
      <x:c r="H227"/>
      <x:c r="I227"/>
      <x:c r="J227"/>
      <x:c r="K227"/>
      <x:c r="L227"/>
      <x:c r="M227"/>
    </x:row>
    <x:row r="228">
      <x:c r="A228"/>
      <x:c r="B228"/>
      <x:c r="C228"/>
      <x:c r="D228"/>
      <x:c r="E228"/>
      <x:c r="F228"/>
      <x:c r="G228"/>
      <x:c r="H228"/>
      <x:c r="I228"/>
      <x:c r="J228"/>
      <x:c r="K228"/>
      <x:c r="L228"/>
      <x:c r="M228"/>
    </x:row>
    <x:row r="229">
      <x:c r="A229"/>
      <x:c r="B229"/>
      <x:c r="C229"/>
      <x:c r="D229"/>
      <x:c r="E229"/>
      <x:c r="F229"/>
      <x:c r="G229"/>
      <x:c r="H229"/>
      <x:c r="I229"/>
      <x:c r="J229"/>
      <x:c r="K229"/>
      <x:c r="L229"/>
      <x:c r="M229"/>
    </x:row>
    <x:row r="230">
      <x:c r="A230"/>
      <x:c r="B230"/>
      <x:c r="C230"/>
      <x:c r="D230"/>
      <x:c r="E230"/>
      <x:c r="F230"/>
      <x:c r="G230"/>
      <x:c r="H230"/>
      <x:c r="I230"/>
      <x:c r="J230"/>
      <x:c r="K230"/>
      <x:c r="L230"/>
      <x:c r="M230"/>
    </x:row>
    <x:row r="231">
      <x:c r="A231"/>
      <x:c r="B231"/>
      <x:c r="C231"/>
      <x:c r="D231"/>
      <x:c r="E231"/>
      <x:c r="F231"/>
      <x:c r="G231"/>
      <x:c r="H231"/>
      <x:c r="I231"/>
      <x:c r="J231"/>
      <x:c r="K231"/>
      <x:c r="L231"/>
      <x:c r="M231"/>
    </x:row>
    <x:row r="232">
      <x:c r="A232"/>
      <x:c r="B232"/>
      <x:c r="C232"/>
      <x:c r="D232"/>
      <x:c r="E232"/>
      <x:c r="F232"/>
      <x:c r="G232"/>
      <x:c r="H232"/>
      <x:c r="I232"/>
      <x:c r="J232"/>
      <x:c r="K232"/>
      <x:c r="L232"/>
      <x:c r="M232"/>
    </x:row>
    <x:row r="233">
      <x:c r="A233"/>
      <x:c r="B233"/>
      <x:c r="C233"/>
      <x:c r="D233"/>
      <x:c r="E233"/>
      <x:c r="F233"/>
      <x:c r="G233"/>
      <x:c r="H233"/>
      <x:c r="I233"/>
      <x:c r="J233"/>
      <x:c r="K233"/>
      <x:c r="L233"/>
      <x:c r="M233"/>
    </x:row>
    <x:row r="234">
      <x:c r="A234"/>
      <x:c r="B234"/>
      <x:c r="C234"/>
      <x:c r="D234"/>
      <x:c r="E234"/>
      <x:c r="F234"/>
      <x:c r="G234"/>
      <x:c r="H234"/>
      <x:c r="I234"/>
      <x:c r="J234"/>
      <x:c r="K234"/>
      <x:c r="L234"/>
      <x:c r="M234"/>
    </x:row>
    <x:row r="235">
      <x:c r="A235"/>
      <x:c r="B235"/>
      <x:c r="C235"/>
      <x:c r="D235"/>
      <x:c r="E235"/>
      <x:c r="F235"/>
      <x:c r="G235"/>
      <x:c r="H235"/>
      <x:c r="I235"/>
      <x:c r="J235"/>
      <x:c r="K235"/>
      <x:c r="L235"/>
      <x:c r="M235"/>
    </x:row>
    <x:row r="236">
      <x:c r="A236"/>
      <x:c r="B236"/>
      <x:c r="C236"/>
      <x:c r="D236"/>
      <x:c r="E236"/>
      <x:c r="F236"/>
      <x:c r="G236"/>
      <x:c r="H236"/>
      <x:c r="I236"/>
      <x:c r="J236"/>
      <x:c r="K236"/>
      <x:c r="L236"/>
      <x:c r="M236"/>
    </x:row>
    <x:row r="237">
      <x:c r="A237"/>
      <x:c r="B237"/>
      <x:c r="C237"/>
      <x:c r="D237"/>
      <x:c r="E237"/>
      <x:c r="F237"/>
      <x:c r="G237"/>
      <x:c r="H237"/>
      <x:c r="I237"/>
      <x:c r="J237"/>
      <x:c r="K237"/>
      <x:c r="L237"/>
      <x:c r="M237"/>
    </x:row>
    <x:row r="238">
      <x:c r="A238"/>
      <x:c r="B238"/>
      <x:c r="C238"/>
      <x:c r="D238"/>
      <x:c r="E238"/>
      <x:c r="F238"/>
      <x:c r="G238"/>
      <x:c r="H238"/>
      <x:c r="I238"/>
      <x:c r="J238"/>
      <x:c r="K238"/>
      <x:c r="L238"/>
      <x:c r="M238"/>
    </x:row>
    <x:row r="239">
      <x:c r="A239"/>
      <x:c r="B239"/>
      <x:c r="C239"/>
      <x:c r="D239"/>
      <x:c r="E239"/>
      <x:c r="F239"/>
      <x:c r="G239"/>
      <x:c r="H239"/>
      <x:c r="I239"/>
      <x:c r="J239"/>
      <x:c r="K239"/>
      <x:c r="L239"/>
      <x:c r="M239"/>
    </x:row>
    <x:row r="240">
      <x:c r="A240"/>
      <x:c r="B240"/>
      <x:c r="C240"/>
      <x:c r="D240"/>
      <x:c r="E240"/>
      <x:c r="F240"/>
      <x:c r="G240"/>
      <x:c r="H240"/>
      <x:c r="I240"/>
      <x:c r="J240"/>
      <x:c r="K240"/>
      <x:c r="L240"/>
      <x:c r="M240"/>
    </x:row>
    <x:row r="241">
      <x:c r="A241"/>
      <x:c r="B241"/>
      <x:c r="C241"/>
      <x:c r="D241"/>
      <x:c r="E241"/>
      <x:c r="F241"/>
      <x:c r="G241"/>
      <x:c r="H241"/>
      <x:c r="I241"/>
      <x:c r="J241"/>
      <x:c r="K241"/>
      <x:c r="L241"/>
      <x:c r="M241"/>
    </x:row>
    <x:row r="242">
      <x:c r="A242"/>
      <x:c r="B242"/>
      <x:c r="C242"/>
      <x:c r="D242"/>
      <x:c r="E242"/>
      <x:c r="F242"/>
      <x:c r="G242"/>
      <x:c r="H242"/>
      <x:c r="I242"/>
      <x:c r="J242"/>
      <x:c r="K242"/>
      <x:c r="L242"/>
      <x:c r="M242"/>
    </x:row>
    <x:row r="243">
      <x:c r="A243"/>
      <x:c r="B243"/>
      <x:c r="C243"/>
      <x:c r="D243"/>
      <x:c r="E243"/>
      <x:c r="F243"/>
      <x:c r="G243"/>
      <x:c r="H243"/>
      <x:c r="I243"/>
      <x:c r="J243"/>
      <x:c r="K243"/>
      <x:c r="L243"/>
      <x:c r="M243"/>
    </x:row>
    <x:row r="244">
      <x:c r="A244"/>
      <x:c r="B244"/>
      <x:c r="C244"/>
      <x:c r="D244"/>
      <x:c r="E244"/>
      <x:c r="F244"/>
      <x:c r="G244"/>
      <x:c r="H244"/>
      <x:c r="I244"/>
      <x:c r="J244"/>
      <x:c r="K244"/>
      <x:c r="L244"/>
      <x:c r="M244"/>
    </x:row>
    <x:row r="245">
      <x:c r="A245"/>
      <x:c r="B245"/>
      <x:c r="C245"/>
      <x:c r="D245"/>
      <x:c r="E245"/>
      <x:c r="F245"/>
      <x:c r="G245"/>
      <x:c r="H245"/>
      <x:c r="I245"/>
      <x:c r="J245"/>
      <x:c r="K245"/>
      <x:c r="L245"/>
      <x:c r="M245"/>
    </x:row>
    <x:row r="246">
      <x:c r="A246"/>
      <x:c r="B246"/>
      <x:c r="C246"/>
      <x:c r="D246"/>
      <x:c r="E246"/>
      <x:c r="F246"/>
      <x:c r="G246"/>
      <x:c r="H246"/>
      <x:c r="I246"/>
      <x:c r="J246"/>
      <x:c r="K246"/>
      <x:c r="L246"/>
      <x:c r="M246"/>
    </x:row>
    <x:row r="247">
      <x:c r="A247"/>
      <x:c r="B247"/>
      <x:c r="C247"/>
      <x:c r="D247"/>
      <x:c r="E247"/>
      <x:c r="F247"/>
      <x:c r="G247"/>
      <x:c r="H247"/>
      <x:c r="I247"/>
      <x:c r="J247"/>
      <x:c r="K247"/>
      <x:c r="L247"/>
      <x:c r="M247"/>
    </x:row>
    <x:row r="248">
      <x:c r="A248"/>
      <x:c r="B248"/>
      <x:c r="C248"/>
      <x:c r="D248"/>
      <x:c r="E248"/>
      <x:c r="F248"/>
      <x:c r="G248"/>
      <x:c r="H248"/>
      <x:c r="I248"/>
      <x:c r="J248"/>
      <x:c r="K248"/>
      <x:c r="L248"/>
      <x:c r="M248"/>
    </x:row>
    <x:row r="249">
      <x:c r="A249"/>
      <x:c r="B249"/>
      <x:c r="C249"/>
      <x:c r="D249"/>
      <x:c r="E249"/>
      <x:c r="F249"/>
      <x:c r="G249"/>
      <x:c r="H249"/>
      <x:c r="I249"/>
      <x:c r="J249"/>
      <x:c r="K249"/>
      <x:c r="L249"/>
      <x:c r="M249"/>
    </x:row>
    <x:row r="250">
      <x:c r="A250"/>
      <x:c r="B250"/>
      <x:c r="C250"/>
      <x:c r="D250"/>
      <x:c r="E250"/>
      <x:c r="F250"/>
      <x:c r="G250"/>
      <x:c r="H250"/>
      <x:c r="I250"/>
      <x:c r="J250"/>
      <x:c r="K250"/>
      <x:c r="L250"/>
      <x:c r="M250"/>
    </x:row>
    <x:row r="251">
      <x:c r="A251"/>
      <x:c r="B251"/>
      <x:c r="C251"/>
      <x:c r="D251"/>
      <x:c r="E251"/>
      <x:c r="F251"/>
      <x:c r="G251"/>
      <x:c r="H251"/>
      <x:c r="I251"/>
      <x:c r="J251"/>
      <x:c r="K251"/>
      <x:c r="L251"/>
      <x:c r="M251"/>
    </x:row>
    <x:row r="252">
      <x:c r="A252"/>
      <x:c r="B252"/>
      <x:c r="C252"/>
      <x:c r="D252"/>
      <x:c r="E252"/>
      <x:c r="F252"/>
      <x:c r="G252"/>
      <x:c r="H252"/>
      <x:c r="I252"/>
      <x:c r="J252"/>
      <x:c r="K252"/>
      <x:c r="L252"/>
      <x:c r="M252"/>
    </x:row>
    <x:row r="253">
      <x:c r="A253"/>
      <x:c r="B253"/>
      <x:c r="C253"/>
      <x:c r="D253"/>
      <x:c r="E253"/>
      <x:c r="F253"/>
      <x:c r="G253"/>
      <x:c r="H253"/>
      <x:c r="I253"/>
      <x:c r="J253"/>
      <x:c r="K253"/>
      <x:c r="L253"/>
      <x:c r="M253"/>
    </x:row>
    <x:row r="254">
      <x:c r="A254"/>
      <x:c r="B254"/>
      <x:c r="C254"/>
      <x:c r="D254"/>
      <x:c r="E254"/>
      <x:c r="F254"/>
      <x:c r="G254"/>
      <x:c r="H254"/>
      <x:c r="I254"/>
      <x:c r="J254"/>
      <x:c r="K254"/>
      <x:c r="L254"/>
      <x:c r="M254"/>
    </x:row>
    <x:row r="255">
      <x:c r="A255"/>
      <x:c r="B255"/>
      <x:c r="C255"/>
      <x:c r="D255"/>
      <x:c r="E255"/>
      <x:c r="F255"/>
      <x:c r="G255"/>
      <x:c r="H255"/>
      <x:c r="I255"/>
      <x:c r="J255"/>
      <x:c r="K255"/>
      <x:c r="L255"/>
      <x:c r="M255"/>
    </x:row>
    <x:row r="256">
      <x:c r="A256"/>
      <x:c r="B256"/>
      <x:c r="C256"/>
      <x:c r="D256"/>
      <x:c r="E256"/>
      <x:c r="F256"/>
      <x:c r="G256"/>
      <x:c r="H256"/>
      <x:c r="I256"/>
      <x:c r="J256"/>
      <x:c r="K256"/>
      <x:c r="L256"/>
      <x:c r="M256"/>
    </x:row>
    <x:row r="257">
      <x:c r="A257"/>
      <x:c r="B257"/>
      <x:c r="C257"/>
      <x:c r="D257"/>
      <x:c r="E257"/>
      <x:c r="F257"/>
      <x:c r="G257"/>
      <x:c r="H257"/>
      <x:c r="I257"/>
      <x:c r="J257"/>
      <x:c r="K257"/>
      <x:c r="L257"/>
      <x:c r="M257"/>
    </x:row>
    <x:row r="258">
      <x:c r="A258"/>
      <x:c r="B258"/>
      <x:c r="C258"/>
      <x:c r="D258"/>
      <x:c r="E258"/>
      <x:c r="F258"/>
      <x:c r="G258"/>
      <x:c r="H258"/>
      <x:c r="I258"/>
      <x:c r="J258"/>
      <x:c r="K258"/>
      <x:c r="L258"/>
      <x:c r="M258"/>
    </x:row>
    <x:row r="259">
      <x:c r="A259"/>
      <x:c r="B259"/>
      <x:c r="C259"/>
      <x:c r="D259"/>
      <x:c r="E259"/>
      <x:c r="F259"/>
      <x:c r="G259"/>
      <x:c r="H259"/>
      <x:c r="I259"/>
      <x:c r="J259"/>
      <x:c r="K259"/>
      <x:c r="L259"/>
      <x:c r="M259"/>
    </x:row>
    <x:row r="260">
      <x:c r="A260"/>
      <x:c r="B260"/>
      <x:c r="C260"/>
      <x:c r="D260"/>
      <x:c r="E260"/>
      <x:c r="F260"/>
      <x:c r="G260"/>
      <x:c r="H260"/>
      <x:c r="I260"/>
      <x:c r="J260"/>
      <x:c r="K260"/>
      <x:c r="L260"/>
      <x:c r="M260"/>
    </x:row>
    <x:row r="261">
      <x:c r="A261"/>
      <x:c r="B261"/>
      <x:c r="C261"/>
      <x:c r="D261"/>
      <x:c r="E261"/>
      <x:c r="F261"/>
      <x:c r="G261"/>
      <x:c r="H261"/>
      <x:c r="I261"/>
      <x:c r="J261"/>
      <x:c r="K261"/>
      <x:c r="L261"/>
      <x:c r="M261"/>
    </x:row>
    <x:row r="262">
      <x:c r="A262"/>
      <x:c r="B262"/>
      <x:c r="C262"/>
      <x:c r="D262"/>
      <x:c r="E262"/>
      <x:c r="F262"/>
      <x:c r="G262"/>
      <x:c r="H262"/>
      <x:c r="I262"/>
      <x:c r="J262"/>
      <x:c r="K262"/>
      <x:c r="L262"/>
      <x:c r="M262"/>
    </x:row>
    <x:row r="263">
      <x:c r="A263"/>
      <x:c r="B263"/>
      <x:c r="C263"/>
      <x:c r="D263"/>
      <x:c r="E263"/>
      <x:c r="F263"/>
      <x:c r="G263"/>
      <x:c r="H263"/>
      <x:c r="I263"/>
      <x:c r="J263"/>
      <x:c r="K263"/>
      <x:c r="L263"/>
      <x:c r="M263"/>
    </x:row>
    <x:row r="264">
      <x:c r="A264"/>
      <x:c r="B264"/>
      <x:c r="C264"/>
      <x:c r="D264"/>
      <x:c r="E264"/>
      <x:c r="F264"/>
      <x:c r="G264"/>
      <x:c r="H264"/>
      <x:c r="I264"/>
      <x:c r="J264"/>
      <x:c r="K264"/>
      <x:c r="L264"/>
      <x:c r="M264"/>
    </x:row>
    <x:row r="265">
      <x:c r="A265"/>
      <x:c r="B265"/>
      <x:c r="C265"/>
      <x:c r="D265"/>
      <x:c r="E265"/>
      <x:c r="F265"/>
      <x:c r="G265"/>
      <x:c r="H265"/>
      <x:c r="I265"/>
      <x:c r="J265"/>
      <x:c r="K265"/>
      <x:c r="L265"/>
      <x:c r="M265"/>
    </x:row>
    <x:row r="266">
      <x:c r="A266"/>
      <x:c r="B266"/>
      <x:c r="C266"/>
      <x:c r="D266"/>
      <x:c r="E266"/>
      <x:c r="F266"/>
      <x:c r="G266"/>
      <x:c r="H266"/>
      <x:c r="I266"/>
      <x:c r="J266"/>
      <x:c r="K266"/>
      <x:c r="L266"/>
      <x:c r="M266"/>
    </x:row>
    <x:row r="267">
      <x:c r="A267"/>
      <x:c r="B267"/>
      <x:c r="C267"/>
      <x:c r="D267"/>
      <x:c r="E267"/>
      <x:c r="F267"/>
      <x:c r="G267"/>
      <x:c r="H267"/>
      <x:c r="I267"/>
      <x:c r="J267"/>
      <x:c r="K267"/>
      <x:c r="L267"/>
      <x:c r="M267"/>
    </x:row>
    <x:row r="268">
      <x:c r="A268"/>
      <x:c r="B268"/>
      <x:c r="C268"/>
      <x:c r="D268"/>
      <x:c r="E268"/>
      <x:c r="F268"/>
      <x:c r="G268"/>
      <x:c r="H268"/>
      <x:c r="I268"/>
      <x:c r="J268"/>
      <x:c r="K268"/>
      <x:c r="L268"/>
      <x:c r="M268"/>
    </x:row>
    <x:row r="269">
      <x:c r="A269"/>
      <x:c r="B269"/>
      <x:c r="C269"/>
      <x:c r="D269"/>
      <x:c r="E269"/>
      <x:c r="F269"/>
      <x:c r="G269"/>
      <x:c r="H269"/>
      <x:c r="I269"/>
      <x:c r="J269"/>
      <x:c r="K269"/>
      <x:c r="L269"/>
      <x:c r="M269"/>
    </x:row>
    <x:row r="270">
      <x:c r="A270"/>
      <x:c r="B270"/>
      <x:c r="C270"/>
      <x:c r="D270"/>
      <x:c r="E270"/>
      <x:c r="F270"/>
      <x:c r="G270"/>
      <x:c r="H270"/>
      <x:c r="I270"/>
      <x:c r="J270"/>
      <x:c r="K270"/>
      <x:c r="L270"/>
      <x:c r="M270"/>
    </x:row>
    <x:row r="271">
      <x:c r="A271"/>
      <x:c r="B271"/>
      <x:c r="C271"/>
      <x:c r="D271"/>
      <x:c r="E271"/>
      <x:c r="F271"/>
      <x:c r="G271"/>
      <x:c r="H271"/>
      <x:c r="I271"/>
      <x:c r="J271"/>
      <x:c r="K271"/>
      <x:c r="L271"/>
      <x:c r="M271"/>
    </x:row>
    <x:row r="272">
      <x:c r="A272"/>
      <x:c r="B272"/>
      <x:c r="C272"/>
      <x:c r="D272"/>
      <x:c r="E272"/>
      <x:c r="F272"/>
      <x:c r="G272"/>
      <x:c r="H272"/>
      <x:c r="I272"/>
      <x:c r="J272"/>
      <x:c r="K272"/>
      <x:c r="L272"/>
      <x:c r="M272"/>
    </x:row>
    <x:row r="273">
      <x:c r="A273"/>
      <x:c r="B273"/>
      <x:c r="C273"/>
      <x:c r="D273"/>
      <x:c r="E273"/>
      <x:c r="F273"/>
      <x:c r="G273"/>
      <x:c r="H273"/>
      <x:c r="I273"/>
      <x:c r="J273"/>
      <x:c r="K273"/>
      <x:c r="L273"/>
      <x:c r="M273"/>
    </x:row>
    <x:row r="274">
      <x:c r="A274"/>
      <x:c r="B274"/>
      <x:c r="C274"/>
      <x:c r="D274"/>
      <x:c r="E274"/>
      <x:c r="F274"/>
      <x:c r="G274"/>
      <x:c r="H274"/>
      <x:c r="I274"/>
      <x:c r="J274"/>
      <x:c r="K274"/>
      <x:c r="L274"/>
      <x:c r="M274"/>
    </x:row>
    <x:row r="275">
      <x:c r="A275"/>
      <x:c r="B275"/>
      <x:c r="C275"/>
      <x:c r="D275"/>
      <x:c r="E275"/>
      <x:c r="F275"/>
      <x:c r="G275"/>
      <x:c r="H275"/>
      <x:c r="I275"/>
      <x:c r="J275"/>
      <x:c r="K275"/>
      <x:c r="L275"/>
      <x:c r="M275"/>
    </x:row>
    <x:row r="276">
      <x:c r="A276"/>
      <x:c r="B276"/>
      <x:c r="C276"/>
      <x:c r="D276"/>
      <x:c r="E276"/>
      <x:c r="F276"/>
      <x:c r="G276"/>
      <x:c r="H276"/>
      <x:c r="I276"/>
      <x:c r="J276"/>
      <x:c r="K276"/>
      <x:c r="L276"/>
      <x:c r="M276"/>
    </x:row>
    <x:row r="277">
      <x:c r="A277"/>
      <x:c r="B277"/>
      <x:c r="C277"/>
      <x:c r="D277"/>
      <x:c r="E277"/>
      <x:c r="F277"/>
      <x:c r="G277"/>
      <x:c r="H277"/>
      <x:c r="I277"/>
      <x:c r="J277"/>
      <x:c r="K277"/>
      <x:c r="L277"/>
      <x:c r="M277"/>
    </x:row>
    <x:row r="278">
      <x:c r="A278"/>
      <x:c r="B278"/>
      <x:c r="C278"/>
      <x:c r="D278"/>
      <x:c r="E278"/>
      <x:c r="F278"/>
      <x:c r="G278"/>
      <x:c r="H278"/>
      <x:c r="I278"/>
      <x:c r="J278"/>
      <x:c r="K278"/>
      <x:c r="L278"/>
      <x:c r="M278"/>
    </x:row>
    <x:row r="279">
      <x:c r="A279"/>
      <x:c r="B279"/>
      <x:c r="C279"/>
      <x:c r="D279"/>
      <x:c r="E279"/>
      <x:c r="F279"/>
      <x:c r="G279"/>
      <x:c r="H279"/>
      <x:c r="I279"/>
      <x:c r="J279"/>
      <x:c r="K279"/>
      <x:c r="L279"/>
      <x:c r="M279"/>
    </x:row>
    <x:row r="280">
      <x:c r="A280"/>
      <x:c r="B280"/>
      <x:c r="C280"/>
      <x:c r="D280"/>
      <x:c r="E280"/>
      <x:c r="F280"/>
      <x:c r="G280"/>
      <x:c r="H280"/>
      <x:c r="I280"/>
      <x:c r="J280"/>
      <x:c r="K280"/>
      <x:c r="L280"/>
      <x:c r="M280"/>
    </x:row>
    <x:row r="281">
      <x:c r="A281"/>
      <x:c r="B281"/>
      <x:c r="C281"/>
      <x:c r="D281"/>
      <x:c r="E281"/>
      <x:c r="F281"/>
      <x:c r="G281"/>
      <x:c r="H281"/>
      <x:c r="I281"/>
      <x:c r="J281"/>
      <x:c r="K281"/>
      <x:c r="L281"/>
      <x:c r="M281"/>
    </x:row>
    <x:row r="282">
      <x:c r="A282"/>
      <x:c r="B282"/>
      <x:c r="C282"/>
      <x:c r="D282"/>
      <x:c r="E282"/>
      <x:c r="F282"/>
      <x:c r="G282"/>
      <x:c r="H282"/>
      <x:c r="I282"/>
      <x:c r="J282"/>
      <x:c r="K282"/>
      <x:c r="L282"/>
      <x:c r="M282"/>
    </x:row>
    <x:row r="283">
      <x:c r="A283"/>
      <x:c r="B283"/>
      <x:c r="C283"/>
      <x:c r="D283"/>
      <x:c r="E283"/>
      <x:c r="F283"/>
      <x:c r="G283"/>
      <x:c r="H283"/>
      <x:c r="I283"/>
      <x:c r="J283"/>
      <x:c r="K283"/>
      <x:c r="L283"/>
      <x:c r="M283"/>
    </x:row>
    <x:row r="284">
      <x:c r="A284"/>
      <x:c r="B284"/>
      <x:c r="C284"/>
      <x:c r="D284"/>
      <x:c r="E284"/>
      <x:c r="F284"/>
      <x:c r="G284"/>
      <x:c r="H284"/>
      <x:c r="I284"/>
      <x:c r="J284"/>
      <x:c r="K284"/>
      <x:c r="L284"/>
      <x:c r="M284"/>
    </x:row>
    <x:row r="285">
      <x:c r="A285"/>
      <x:c r="B285"/>
      <x:c r="C285"/>
      <x:c r="D285"/>
      <x:c r="E285"/>
      <x:c r="F285"/>
      <x:c r="G285"/>
      <x:c r="H285"/>
      <x:c r="I285"/>
      <x:c r="J285"/>
      <x:c r="K285"/>
      <x:c r="L285"/>
      <x:c r="M285"/>
    </x:row>
    <x:row r="286">
      <x:c r="A286"/>
      <x:c r="B286"/>
      <x:c r="C286"/>
      <x:c r="D286"/>
      <x:c r="E286"/>
      <x:c r="F286"/>
      <x:c r="G286"/>
      <x:c r="H286"/>
      <x:c r="I286"/>
      <x:c r="J286"/>
      <x:c r="K286"/>
      <x:c r="L286"/>
      <x:c r="M286"/>
    </x:row>
    <x:row r="287">
      <x:c r="A287"/>
      <x:c r="B287"/>
      <x:c r="C287"/>
      <x:c r="D287"/>
      <x:c r="E287"/>
      <x:c r="F287"/>
      <x:c r="G287"/>
      <x:c r="H287"/>
      <x:c r="I287"/>
      <x:c r="J287"/>
      <x:c r="K287"/>
      <x:c r="L287"/>
      <x:c r="M287"/>
    </x:row>
    <x:row r="288">
      <x:c r="A288"/>
      <x:c r="B288"/>
      <x:c r="C288"/>
      <x:c r="D288"/>
      <x:c r="E288"/>
      <x:c r="F288"/>
      <x:c r="G288"/>
      <x:c r="H288"/>
      <x:c r="I288"/>
      <x:c r="J288"/>
      <x:c r="K288"/>
      <x:c r="L288"/>
      <x:c r="M288"/>
    </x:row>
    <x:row r="289">
      <x:c r="A289"/>
      <x:c r="B289"/>
      <x:c r="C289"/>
      <x:c r="D289"/>
      <x:c r="E289"/>
      <x:c r="F289"/>
      <x:c r="G289"/>
      <x:c r="H289"/>
      <x:c r="I289"/>
      <x:c r="J289"/>
      <x:c r="K289"/>
      <x:c r="L289"/>
      <x:c r="M289"/>
    </x:row>
    <x:row r="290">
      <x:c r="A290"/>
      <x:c r="B290"/>
      <x:c r="C290"/>
      <x:c r="D290"/>
      <x:c r="E290"/>
      <x:c r="F290"/>
      <x:c r="G290"/>
      <x:c r="H290"/>
      <x:c r="I290"/>
      <x:c r="J290"/>
      <x:c r="K290"/>
      <x:c r="L290"/>
      <x:c r="M290"/>
    </x:row>
    <x:row r="291">
      <x:c r="A291"/>
      <x:c r="B291"/>
      <x:c r="C291"/>
      <x:c r="D291"/>
      <x:c r="E291"/>
      <x:c r="F291"/>
      <x:c r="G291"/>
      <x:c r="H291"/>
      <x:c r="I291"/>
      <x:c r="J291"/>
      <x:c r="K291"/>
      <x:c r="L291"/>
      <x:c r="M291"/>
    </x:row>
    <x:row r="292">
      <x:c r="A292"/>
      <x:c r="B292"/>
      <x:c r="C292"/>
      <x:c r="D292"/>
      <x:c r="E292"/>
      <x:c r="F292"/>
      <x:c r="G292"/>
      <x:c r="H292"/>
      <x:c r="I292"/>
      <x:c r="J292"/>
      <x:c r="K292"/>
      <x:c r="L292"/>
      <x:c r="M292"/>
    </x:row>
    <x:row r="293">
      <x:c r="A293"/>
      <x:c r="B293"/>
      <x:c r="C293"/>
      <x:c r="D293"/>
      <x:c r="E293"/>
      <x:c r="F293"/>
      <x:c r="G293"/>
      <x:c r="H293"/>
      <x:c r="I293"/>
      <x:c r="J293"/>
      <x:c r="K293"/>
      <x:c r="L293"/>
      <x:c r="M293"/>
    </x:row>
    <x:row r="294">
      <x:c r="A294"/>
      <x:c r="B294"/>
      <x:c r="C294"/>
      <x:c r="D294"/>
      <x:c r="E294"/>
      <x:c r="F294"/>
      <x:c r="G294"/>
      <x:c r="H294"/>
      <x:c r="I294"/>
      <x:c r="J294"/>
      <x:c r="K294"/>
      <x:c r="L294"/>
      <x:c r="M294"/>
    </x:row>
    <x:row r="295">
      <x:c r="A295"/>
      <x:c r="B295"/>
      <x:c r="C295"/>
      <x:c r="D295"/>
      <x:c r="E295"/>
      <x:c r="F295"/>
      <x:c r="G295"/>
      <x:c r="H295"/>
      <x:c r="I295"/>
      <x:c r="J295"/>
      <x:c r="K295"/>
      <x:c r="L295"/>
      <x:c r="M295"/>
    </x:row>
    <x:row r="296">
      <x:c r="A296"/>
      <x:c r="B296"/>
      <x:c r="C296"/>
      <x:c r="D296"/>
      <x:c r="E296"/>
      <x:c r="F296"/>
      <x:c r="G296"/>
      <x:c r="H296"/>
      <x:c r="I296"/>
      <x:c r="J296"/>
      <x:c r="K296"/>
      <x:c r="L296"/>
      <x:c r="M296"/>
    </x:row>
    <x:row r="297">
      <x:c r="A297"/>
      <x:c r="B297"/>
      <x:c r="C297"/>
      <x:c r="D297"/>
      <x:c r="E297"/>
      <x:c r="F297"/>
      <x:c r="G297"/>
      <x:c r="H297"/>
      <x:c r="I297"/>
      <x:c r="J297"/>
      <x:c r="K297"/>
      <x:c r="L297"/>
      <x:c r="M297"/>
    </x:row>
    <x:row r="298">
      <x:c r="A298"/>
      <x:c r="B298"/>
      <x:c r="C298"/>
      <x:c r="D298"/>
      <x:c r="E298"/>
      <x:c r="F298"/>
      <x:c r="G298"/>
      <x:c r="H298"/>
      <x:c r="I298"/>
      <x:c r="J298"/>
      <x:c r="K298"/>
      <x:c r="L298"/>
      <x:c r="M298"/>
    </x:row>
    <x:row r="299">
      <x:c r="A299"/>
      <x:c r="B299"/>
      <x:c r="C299"/>
      <x:c r="D299"/>
      <x:c r="E299"/>
      <x:c r="F299"/>
      <x:c r="G299"/>
      <x:c r="H299"/>
      <x:c r="I299"/>
      <x:c r="J299"/>
      <x:c r="K299"/>
      <x:c r="L299"/>
      <x:c r="M299"/>
    </x:row>
    <x:row r="300">
      <x:c r="A300"/>
      <x:c r="B300"/>
      <x:c r="C300"/>
      <x:c r="D300"/>
      <x:c r="E300"/>
      <x:c r="F300"/>
      <x:c r="G300"/>
      <x:c r="H300"/>
      <x:c r="I300"/>
      <x:c r="J300"/>
      <x:c r="K300"/>
      <x:c r="L300"/>
      <x:c r="M300"/>
    </x:row>
    <x:row r="301">
      <x:c r="A301"/>
      <x:c r="B301"/>
      <x:c r="C301"/>
      <x:c r="D301"/>
      <x:c r="E301"/>
      <x:c r="F301"/>
      <x:c r="G301"/>
      <x:c r="H301"/>
      <x:c r="I301"/>
      <x:c r="J301"/>
      <x:c r="K301"/>
      <x:c r="L301"/>
      <x:c r="M301"/>
    </x:row>
    <x:row r="302">
      <x:c r="A302"/>
      <x:c r="B302"/>
      <x:c r="C302"/>
      <x:c r="D302"/>
      <x:c r="E302"/>
      <x:c r="F302"/>
      <x:c r="G302"/>
      <x:c r="H302"/>
      <x:c r="I302"/>
      <x:c r="J302"/>
      <x:c r="K302"/>
      <x:c r="L302"/>
      <x:c r="M302"/>
    </x:row>
    <x:row r="303">
      <x:c r="A303"/>
      <x:c r="B303"/>
      <x:c r="C303"/>
      <x:c r="D303"/>
      <x:c r="E303"/>
      <x:c r="F303"/>
      <x:c r="G303"/>
      <x:c r="H303"/>
      <x:c r="I303"/>
      <x:c r="J303"/>
      <x:c r="K303"/>
      <x:c r="L303"/>
      <x:c r="M303"/>
    </x:row>
    <x:row r="304">
      <x:c r="A304"/>
      <x:c r="B304"/>
      <x:c r="C304"/>
      <x:c r="D304"/>
      <x:c r="E304"/>
      <x:c r="F304"/>
      <x:c r="G304"/>
      <x:c r="H304"/>
      <x:c r="I304"/>
      <x:c r="J304"/>
      <x:c r="K304"/>
      <x:c r="L304"/>
      <x:c r="M304"/>
    </x:row>
    <x:row r="305">
      <x:c r="A305"/>
      <x:c r="B305"/>
      <x:c r="C305"/>
      <x:c r="D305"/>
      <x:c r="E305"/>
      <x:c r="F305"/>
      <x:c r="G305"/>
      <x:c r="H305"/>
      <x:c r="I305"/>
      <x:c r="J305"/>
      <x:c r="K305"/>
      <x:c r="L305"/>
      <x:c r="M305"/>
    </x:row>
    <x:row r="306">
      <x:c r="A306"/>
      <x:c r="B306"/>
      <x:c r="C306"/>
      <x:c r="D306"/>
      <x:c r="E306"/>
      <x:c r="F306"/>
      <x:c r="G306"/>
      <x:c r="H306"/>
      <x:c r="I306"/>
      <x:c r="J306"/>
      <x:c r="K306"/>
      <x:c r="L306"/>
      <x:c r="M306"/>
    </x:row>
    <x:row r="307">
      <x:c r="A307"/>
      <x:c r="B307"/>
      <x:c r="C307"/>
      <x:c r="D307"/>
      <x:c r="E307"/>
      <x:c r="F307"/>
      <x:c r="G307"/>
      <x:c r="H307"/>
      <x:c r="I307"/>
      <x:c r="J307"/>
      <x:c r="K307"/>
      <x:c r="L307"/>
      <x:c r="M307"/>
    </x:row>
    <x:row r="308">
      <x:c r="A308"/>
      <x:c r="B308"/>
      <x:c r="C308"/>
      <x:c r="D308"/>
      <x:c r="E308"/>
      <x:c r="F308"/>
      <x:c r="G308"/>
      <x:c r="H308"/>
      <x:c r="I308"/>
      <x:c r="J308"/>
      <x:c r="K308"/>
      <x:c r="L308"/>
      <x:c r="M308"/>
    </x:row>
    <x:row r="309">
      <x:c r="A309"/>
      <x:c r="B309"/>
      <x:c r="C309"/>
      <x:c r="D309"/>
      <x:c r="E309"/>
      <x:c r="F309"/>
      <x:c r="G309"/>
      <x:c r="H309"/>
      <x:c r="I309"/>
      <x:c r="J309"/>
      <x:c r="K309"/>
      <x:c r="L309"/>
      <x:c r="M309"/>
    </x:row>
    <x:row r="310">
      <x:c r="A310"/>
      <x:c r="B310"/>
      <x:c r="C310"/>
      <x:c r="D310"/>
      <x:c r="E310"/>
      <x:c r="F310"/>
      <x:c r="G310"/>
      <x:c r="H310"/>
      <x:c r="I310"/>
      <x:c r="J310"/>
      <x:c r="K310"/>
      <x:c r="L310"/>
      <x:c r="M310"/>
    </x:row>
    <x:row r="311">
      <x:c r="A311"/>
      <x:c r="B311"/>
      <x:c r="C311"/>
      <x:c r="D311"/>
      <x:c r="E311"/>
      <x:c r="F311"/>
      <x:c r="G311"/>
      <x:c r="H311"/>
      <x:c r="I311"/>
      <x:c r="J311"/>
      <x:c r="K311"/>
      <x:c r="L311"/>
      <x:c r="M311"/>
    </x:row>
    <x:row r="312">
      <x:c r="A312"/>
      <x:c r="B312"/>
      <x:c r="C312"/>
      <x:c r="D312"/>
      <x:c r="E312"/>
      <x:c r="F312"/>
      <x:c r="G312"/>
      <x:c r="H312"/>
      <x:c r="I312"/>
      <x:c r="J312"/>
      <x:c r="K312"/>
      <x:c r="L312"/>
      <x:c r="M312"/>
    </x:row>
    <x:row r="313">
      <x:c r="A313"/>
      <x:c r="B313"/>
      <x:c r="C313"/>
      <x:c r="D313"/>
      <x:c r="E313"/>
      <x:c r="F313"/>
      <x:c r="G313"/>
      <x:c r="H313"/>
      <x:c r="I313"/>
      <x:c r="J313"/>
      <x:c r="K313"/>
      <x:c r="L313"/>
      <x:c r="M313"/>
    </x:row>
    <x:row r="314">
      <x:c r="A314"/>
      <x:c r="B314"/>
      <x:c r="C314"/>
      <x:c r="D314"/>
      <x:c r="E314"/>
      <x:c r="F314"/>
      <x:c r="G314"/>
      <x:c r="H314"/>
      <x:c r="I314"/>
      <x:c r="J314"/>
      <x:c r="K314"/>
      <x:c r="L314"/>
      <x:c r="M314"/>
    </x:row>
    <x:row r="315">
      <x:c r="A315"/>
      <x:c r="B315"/>
      <x:c r="C315"/>
      <x:c r="D315"/>
      <x:c r="E315"/>
      <x:c r="F315"/>
      <x:c r="G315"/>
      <x:c r="H315"/>
      <x:c r="I315"/>
      <x:c r="J315"/>
      <x:c r="K315"/>
      <x:c r="L315"/>
      <x:c r="M315"/>
    </x:row>
    <x:row r="316">
      <x:c r="A316"/>
      <x:c r="B316"/>
      <x:c r="C316"/>
      <x:c r="D316"/>
      <x:c r="E316"/>
      <x:c r="F316"/>
      <x:c r="G316"/>
      <x:c r="H316"/>
      <x:c r="I316"/>
      <x:c r="J316"/>
      <x:c r="K316"/>
      <x:c r="L316"/>
      <x:c r="M316"/>
    </x:row>
    <x:row r="317">
      <x:c r="A317"/>
      <x:c r="B317"/>
      <x:c r="C317"/>
      <x:c r="D317"/>
      <x:c r="E317"/>
      <x:c r="F317"/>
      <x:c r="G317"/>
      <x:c r="H317"/>
      <x:c r="I317"/>
      <x:c r="J317"/>
      <x:c r="K317"/>
      <x:c r="L317"/>
      <x:c r="M317"/>
    </x:row>
    <x:row r="318">
      <x:c r="A318"/>
      <x:c r="B318"/>
      <x:c r="C318"/>
      <x:c r="D318"/>
      <x:c r="E318"/>
      <x:c r="F318"/>
      <x:c r="G318"/>
      <x:c r="H318"/>
      <x:c r="I318"/>
      <x:c r="J318"/>
      <x:c r="K318"/>
      <x:c r="L318"/>
      <x:c r="M318"/>
    </x:row>
    <x:row r="319">
      <x:c r="A319"/>
      <x:c r="B319"/>
      <x:c r="C319"/>
      <x:c r="D319"/>
      <x:c r="E319"/>
      <x:c r="F319"/>
      <x:c r="G319"/>
      <x:c r="H319"/>
      <x:c r="I319"/>
      <x:c r="J319"/>
      <x:c r="K319"/>
      <x:c r="L319"/>
      <x:c r="M319"/>
    </x:row>
    <x:row r="320">
      <x:c r="A320"/>
      <x:c r="B320"/>
      <x:c r="C320"/>
      <x:c r="D320"/>
      <x:c r="E320"/>
      <x:c r="F320"/>
      <x:c r="G320"/>
      <x:c r="H320"/>
      <x:c r="I320"/>
      <x:c r="J320"/>
      <x:c r="K320"/>
      <x:c r="L320"/>
      <x:c r="M320"/>
    </x:row>
    <x:row r="321">
      <x:c r="A321"/>
      <x:c r="B321"/>
      <x:c r="C321"/>
      <x:c r="D321"/>
      <x:c r="E321"/>
      <x:c r="F321"/>
      <x:c r="G321"/>
      <x:c r="H321"/>
      <x:c r="I321"/>
      <x:c r="J321"/>
      <x:c r="K321"/>
      <x:c r="L321"/>
      <x:c r="M321"/>
    </x:row>
    <x:row r="322">
      <x:c r="A322"/>
      <x:c r="B322"/>
      <x:c r="C322"/>
      <x:c r="D322"/>
      <x:c r="E322"/>
      <x:c r="F322"/>
      <x:c r="G322"/>
      <x:c r="H322"/>
      <x:c r="I322"/>
      <x:c r="J322"/>
      <x:c r="K322"/>
      <x:c r="L322"/>
      <x:c r="M322"/>
    </x:row>
    <x:row r="323">
      <x:c r="A323"/>
      <x:c r="B323"/>
      <x:c r="C323"/>
      <x:c r="D323"/>
      <x:c r="E323"/>
      <x:c r="F323"/>
      <x:c r="G323"/>
      <x:c r="H323"/>
      <x:c r="I323"/>
      <x:c r="J323"/>
      <x:c r="K323"/>
      <x:c r="L323"/>
      <x:c r="M323"/>
    </x:row>
    <x:row r="324">
      <x:c r="A324"/>
      <x:c r="B324"/>
      <x:c r="C324"/>
      <x:c r="D324"/>
      <x:c r="E324"/>
      <x:c r="F324"/>
      <x:c r="G324"/>
      <x:c r="H324"/>
      <x:c r="I324"/>
      <x:c r="J324"/>
      <x:c r="K324"/>
      <x:c r="L324"/>
      <x:c r="M324"/>
    </x:row>
    <x:row r="325">
      <x:c r="A325"/>
      <x:c r="B325"/>
      <x:c r="C325"/>
      <x:c r="D325"/>
      <x:c r="E325"/>
      <x:c r="F325"/>
      <x:c r="G325"/>
      <x:c r="H325"/>
      <x:c r="I325"/>
      <x:c r="J325"/>
      <x:c r="K325"/>
      <x:c r="L325"/>
      <x:c r="M325"/>
    </x:row>
    <x:row r="326">
      <x:c r="A326"/>
      <x:c r="B326"/>
      <x:c r="C326"/>
      <x:c r="D326"/>
      <x:c r="E326"/>
      <x:c r="F326"/>
      <x:c r="G326"/>
      <x:c r="H326"/>
      <x:c r="I326"/>
      <x:c r="J326"/>
      <x:c r="K326"/>
      <x:c r="L326"/>
      <x:c r="M326"/>
    </x:row>
    <x:row r="327">
      <x:c r="A327"/>
      <x:c r="B327"/>
      <x:c r="C327"/>
      <x:c r="D327"/>
      <x:c r="E327"/>
      <x:c r="F327"/>
      <x:c r="G327"/>
      <x:c r="H327"/>
      <x:c r="I327"/>
      <x:c r="J327"/>
      <x:c r="K327"/>
      <x:c r="L327"/>
      <x:c r="M327"/>
    </x:row>
    <x:row r="328">
      <x:c r="A328"/>
      <x:c r="B328"/>
      <x:c r="C328"/>
      <x:c r="D328"/>
      <x:c r="E328"/>
      <x:c r="F328"/>
      <x:c r="G328"/>
      <x:c r="H328"/>
      <x:c r="I328"/>
      <x:c r="J328"/>
      <x:c r="K328"/>
      <x:c r="L328"/>
      <x:c r="M328"/>
    </x:row>
    <x:row r="329">
      <x:c r="A329"/>
      <x:c r="B329"/>
      <x:c r="C329"/>
      <x:c r="D329"/>
      <x:c r="E329"/>
      <x:c r="F329"/>
      <x:c r="G329"/>
      <x:c r="H329"/>
      <x:c r="I329"/>
      <x:c r="J329"/>
      <x:c r="K329"/>
      <x:c r="L329"/>
      <x:c r="M329"/>
    </x:row>
    <x:row r="330">
      <x:c r="A330"/>
      <x:c r="B330"/>
      <x:c r="C330"/>
      <x:c r="D330"/>
      <x:c r="E330"/>
      <x:c r="F330"/>
      <x:c r="G330"/>
      <x:c r="H330"/>
      <x:c r="I330"/>
      <x:c r="J330"/>
      <x:c r="K330"/>
      <x:c r="L330"/>
      <x:c r="M330"/>
    </x:row>
    <x:row r="331">
      <x:c r="A331"/>
      <x:c r="B331"/>
      <x:c r="C331"/>
      <x:c r="D331"/>
      <x:c r="E331"/>
      <x:c r="F331"/>
      <x:c r="G331"/>
      <x:c r="H331"/>
      <x:c r="I331"/>
      <x:c r="J331"/>
      <x:c r="K331"/>
      <x:c r="L331"/>
      <x:c r="M331"/>
    </x:row>
    <x:row r="332">
      <x:c r="A332"/>
      <x:c r="B332"/>
      <x:c r="C332"/>
      <x:c r="D332"/>
      <x:c r="E332"/>
      <x:c r="F332"/>
      <x:c r="G332"/>
      <x:c r="H332"/>
      <x:c r="I332"/>
      <x:c r="J332"/>
      <x:c r="K332"/>
      <x:c r="L332"/>
      <x:c r="M332"/>
    </x:row>
    <x:row r="333">
      <x:c r="A333"/>
      <x:c r="B333"/>
      <x:c r="C333"/>
      <x:c r="D333"/>
      <x:c r="E333"/>
      <x:c r="F333"/>
      <x:c r="G333"/>
      <x:c r="H333"/>
      <x:c r="I333"/>
      <x:c r="J333"/>
      <x:c r="K333"/>
      <x:c r="L333"/>
      <x:c r="M333"/>
    </x:row>
    <x:row r="334">
      <x:c r="A334"/>
      <x:c r="B334"/>
      <x:c r="C334"/>
      <x:c r="D334"/>
      <x:c r="E334"/>
      <x:c r="F334"/>
      <x:c r="G334"/>
      <x:c r="H334"/>
      <x:c r="I334"/>
      <x:c r="J334"/>
      <x:c r="K334"/>
      <x:c r="L334"/>
      <x:c r="M334"/>
    </x:row>
    <x:row r="335">
      <x:c r="A335"/>
      <x:c r="B335"/>
      <x:c r="C335"/>
      <x:c r="D335"/>
      <x:c r="E335"/>
      <x:c r="F335"/>
      <x:c r="G335"/>
      <x:c r="H335"/>
      <x:c r="I335"/>
      <x:c r="J335"/>
      <x:c r="K335"/>
      <x:c r="L335"/>
      <x:c r="M335"/>
    </x:row>
    <x:row r="336">
      <x:c r="A336"/>
      <x:c r="B336"/>
      <x:c r="C336"/>
      <x:c r="D336"/>
      <x:c r="E336"/>
      <x:c r="F336"/>
      <x:c r="G336"/>
      <x:c r="H336"/>
      <x:c r="I336"/>
      <x:c r="J336"/>
      <x:c r="K336"/>
      <x:c r="L336"/>
      <x:c r="M336"/>
    </x:row>
    <x:row r="337">
      <x:c r="A337"/>
      <x:c r="B337"/>
      <x:c r="C337"/>
      <x:c r="D337"/>
      <x:c r="E337"/>
      <x:c r="F337"/>
      <x:c r="G337"/>
      <x:c r="H337"/>
      <x:c r="I337"/>
      <x:c r="J337"/>
      <x:c r="K337"/>
      <x:c r="L337"/>
      <x:c r="M337"/>
    </x:row>
    <x:row r="338">
      <x:c r="A338"/>
      <x:c r="B338"/>
      <x:c r="C338"/>
      <x:c r="D338"/>
      <x:c r="E338"/>
      <x:c r="F338"/>
      <x:c r="G338"/>
      <x:c r="H338"/>
      <x:c r="I338"/>
      <x:c r="J338"/>
      <x:c r="K338"/>
      <x:c r="L338"/>
      <x:c r="M338"/>
    </x:row>
    <x:row r="339">
      <x:c r="A339"/>
      <x:c r="B339"/>
      <x:c r="C339"/>
      <x:c r="D339"/>
      <x:c r="E339"/>
      <x:c r="F339"/>
      <x:c r="G339"/>
      <x:c r="H339"/>
      <x:c r="I339"/>
      <x:c r="J339"/>
      <x:c r="K339"/>
      <x:c r="L339"/>
      <x:c r="M339"/>
    </x:row>
    <x:row r="340">
      <x:c r="A340"/>
      <x:c r="B340"/>
      <x:c r="C340"/>
      <x:c r="D340"/>
      <x:c r="E340"/>
      <x:c r="F340"/>
      <x:c r="G340"/>
      <x:c r="H340"/>
      <x:c r="I340"/>
      <x:c r="J340"/>
      <x:c r="K340"/>
      <x:c r="L340"/>
      <x:c r="M340"/>
    </x:row>
    <x:row r="341">
      <x:c r="A341"/>
      <x:c r="B341"/>
      <x:c r="C341"/>
      <x:c r="D341"/>
      <x:c r="E341"/>
      <x:c r="F341"/>
      <x:c r="G341"/>
      <x:c r="H341"/>
      <x:c r="I341"/>
      <x:c r="J341"/>
      <x:c r="K341"/>
      <x:c r="L341"/>
      <x:c r="M341"/>
    </x:row>
    <x:row r="342">
      <x:c r="A342"/>
      <x:c r="B342"/>
      <x:c r="C342"/>
      <x:c r="D342"/>
      <x:c r="E342"/>
      <x:c r="F342"/>
      <x:c r="G342"/>
      <x:c r="H342"/>
      <x:c r="I342"/>
      <x:c r="J342"/>
      <x:c r="K342"/>
      <x:c r="L342"/>
      <x:c r="M342"/>
    </x:row>
    <x:row r="343">
      <x:c r="A343"/>
      <x:c r="B343"/>
      <x:c r="C343"/>
      <x:c r="D343"/>
      <x:c r="E343"/>
      <x:c r="F343"/>
      <x:c r="G343"/>
      <x:c r="H343"/>
      <x:c r="I343"/>
      <x:c r="J343"/>
      <x:c r="K343"/>
      <x:c r="L343"/>
      <x:c r="M343"/>
    </x:row>
    <x:row r="344">
      <x:c r="A344"/>
      <x:c r="B344"/>
      <x:c r="C344"/>
      <x:c r="D344"/>
      <x:c r="E344"/>
      <x:c r="F344"/>
      <x:c r="G344"/>
      <x:c r="H344"/>
      <x:c r="I344"/>
      <x:c r="J344"/>
      <x:c r="K344"/>
      <x:c r="L344"/>
      <x:c r="M344"/>
    </x:row>
    <x:row r="345">
      <x:c r="A345"/>
      <x:c r="B345"/>
      <x:c r="C345"/>
      <x:c r="D345"/>
      <x:c r="E345"/>
      <x:c r="F345"/>
      <x:c r="G345"/>
      <x:c r="H345"/>
      <x:c r="I345"/>
      <x:c r="J345"/>
      <x:c r="K345"/>
      <x:c r="L345"/>
      <x:c r="M345"/>
    </x:row>
    <x:row r="346">
      <x:c r="A346"/>
      <x:c r="B346"/>
      <x:c r="C346"/>
      <x:c r="D346"/>
      <x:c r="E346"/>
      <x:c r="F346"/>
      <x:c r="G346"/>
      <x:c r="H346"/>
      <x:c r="I346"/>
      <x:c r="J346"/>
      <x:c r="K346"/>
      <x:c r="L346"/>
      <x:c r="M346"/>
    </x:row>
    <x:row r="347">
      <x:c r="A347"/>
      <x:c r="B347"/>
      <x:c r="C347"/>
      <x:c r="D347"/>
      <x:c r="E347"/>
      <x:c r="F347"/>
      <x:c r="G347"/>
      <x:c r="H347"/>
      <x:c r="I347"/>
      <x:c r="J347"/>
      <x:c r="K347"/>
      <x:c r="L347"/>
      <x:c r="M347"/>
    </x:row>
    <x:row r="348">
      <x:c r="A348"/>
      <x:c r="B348"/>
      <x:c r="C348"/>
      <x:c r="D348"/>
      <x:c r="E348"/>
      <x:c r="F348"/>
      <x:c r="G348"/>
      <x:c r="H348"/>
      <x:c r="I348"/>
      <x:c r="J348"/>
      <x:c r="K348"/>
      <x:c r="L348"/>
      <x:c r="M348"/>
    </x:row>
    <x:row r="349">
      <x:c r="A349"/>
      <x:c r="B349"/>
      <x:c r="C349"/>
      <x:c r="D349"/>
      <x:c r="E349"/>
      <x:c r="F349"/>
      <x:c r="G349"/>
      <x:c r="H349"/>
      <x:c r="I349"/>
      <x:c r="J349"/>
      <x:c r="K349"/>
      <x:c r="L349"/>
      <x:c r="M349"/>
    </x:row>
    <x:row r="350">
      <x:c r="A350"/>
      <x:c r="B350"/>
      <x:c r="C350"/>
      <x:c r="D350"/>
      <x:c r="E350"/>
      <x:c r="F350"/>
      <x:c r="G350"/>
      <x:c r="H350"/>
      <x:c r="I350"/>
      <x:c r="J350"/>
      <x:c r="K350"/>
      <x:c r="L350"/>
      <x:c r="M350"/>
    </x:row>
    <x:row r="351">
      <x:c r="A351"/>
      <x:c r="B351"/>
      <x:c r="C351"/>
      <x:c r="D351"/>
      <x:c r="E351"/>
      <x:c r="F351"/>
      <x:c r="G351"/>
      <x:c r="H351"/>
      <x:c r="I351"/>
      <x:c r="J351"/>
      <x:c r="K351"/>
      <x:c r="L351"/>
      <x:c r="M351"/>
    </x:row>
    <x:row r="352">
      <x:c r="A352"/>
      <x:c r="B352"/>
      <x:c r="C352"/>
      <x:c r="D352"/>
      <x:c r="E352"/>
      <x:c r="F352"/>
      <x:c r="G352"/>
      <x:c r="H352"/>
      <x:c r="I352"/>
      <x:c r="J352"/>
      <x:c r="K352"/>
      <x:c r="L352"/>
      <x:c r="M352"/>
    </x:row>
    <x:row r="353">
      <x:c r="A353"/>
      <x:c r="B353"/>
      <x:c r="C353"/>
      <x:c r="D353"/>
      <x:c r="E353"/>
      <x:c r="F353"/>
      <x:c r="G353"/>
      <x:c r="H353"/>
      <x:c r="I353"/>
      <x:c r="J353"/>
      <x:c r="K353"/>
      <x:c r="L353"/>
      <x:c r="M353"/>
    </x:row>
    <x:row r="354">
      <x:c r="A354"/>
      <x:c r="B354"/>
      <x:c r="C354"/>
      <x:c r="D354"/>
      <x:c r="E354"/>
      <x:c r="F354"/>
      <x:c r="G354"/>
      <x:c r="H354"/>
      <x:c r="I354"/>
      <x:c r="J354"/>
      <x:c r="K354"/>
      <x:c r="L354"/>
      <x:c r="M354"/>
    </x:row>
    <x:row r="355">
      <x:c r="A355"/>
      <x:c r="B355"/>
      <x:c r="C355"/>
      <x:c r="D355"/>
      <x:c r="E355"/>
      <x:c r="F355"/>
      <x:c r="G355"/>
      <x:c r="H355"/>
      <x:c r="I355"/>
      <x:c r="J355"/>
      <x:c r="K355"/>
      <x:c r="L355"/>
      <x:c r="M355"/>
    </x:row>
    <x:row r="356">
      <x:c r="A356"/>
      <x:c r="B356"/>
      <x:c r="C356"/>
      <x:c r="D356"/>
      <x:c r="E356"/>
      <x:c r="F356"/>
      <x:c r="G356"/>
      <x:c r="H356"/>
      <x:c r="I356"/>
      <x:c r="J356"/>
      <x:c r="K356"/>
      <x:c r="L356"/>
      <x:c r="M356"/>
    </x:row>
    <x:row r="357">
      <x:c r="A357"/>
      <x:c r="B357"/>
      <x:c r="C357"/>
      <x:c r="D357"/>
      <x:c r="E357"/>
      <x:c r="F357"/>
      <x:c r="G357"/>
      <x:c r="H357"/>
      <x:c r="I357"/>
      <x:c r="J357"/>
      <x:c r="K357"/>
      <x:c r="L357"/>
      <x:c r="M357"/>
    </x:row>
    <x:row r="358">
      <x:c r="A358"/>
      <x:c r="B358"/>
      <x:c r="C358"/>
      <x:c r="D358"/>
      <x:c r="E358"/>
      <x:c r="F358"/>
      <x:c r="G358"/>
      <x:c r="H358"/>
      <x:c r="I358"/>
      <x:c r="J358"/>
      <x:c r="K358"/>
      <x:c r="L358"/>
      <x:c r="M358"/>
    </x:row>
    <x:row r="359">
      <x:c r="A359"/>
      <x:c r="B359"/>
      <x:c r="C359"/>
      <x:c r="D359"/>
      <x:c r="E359"/>
      <x:c r="F359"/>
      <x:c r="G359"/>
      <x:c r="H359"/>
      <x:c r="I359"/>
      <x:c r="J359"/>
      <x:c r="K359"/>
      <x:c r="L359"/>
      <x:c r="M359"/>
    </x:row>
    <x:row r="360">
      <x:c r="A360"/>
      <x:c r="B360"/>
      <x:c r="C360"/>
      <x:c r="D360"/>
      <x:c r="E360"/>
      <x:c r="F360"/>
      <x:c r="G360"/>
      <x:c r="H360"/>
      <x:c r="I360"/>
      <x:c r="J360"/>
      <x:c r="K360"/>
      <x:c r="L360"/>
      <x:c r="M360"/>
    </x:row>
    <x:row r="361">
      <x:c r="A361"/>
      <x:c r="B361"/>
      <x:c r="C361"/>
      <x:c r="D361"/>
      <x:c r="E361"/>
      <x:c r="F361"/>
      <x:c r="G361"/>
      <x:c r="H361"/>
      <x:c r="I361"/>
      <x:c r="J361"/>
      <x:c r="K361"/>
      <x:c r="L361"/>
      <x:c r="M361"/>
    </x:row>
    <x:row r="362">
      <x:c r="A362"/>
      <x:c r="B362"/>
      <x:c r="C362"/>
      <x:c r="D362"/>
      <x:c r="E362"/>
      <x:c r="F362"/>
      <x:c r="G362"/>
      <x:c r="H362"/>
      <x:c r="I362"/>
      <x:c r="J362"/>
      <x:c r="K362"/>
      <x:c r="L362"/>
      <x:c r="M362"/>
    </x:row>
    <x:row r="363">
      <x:c r="A363"/>
      <x:c r="B363"/>
      <x:c r="C363"/>
      <x:c r="D363"/>
      <x:c r="E363"/>
      <x:c r="F363"/>
      <x:c r="G363"/>
      <x:c r="H363"/>
      <x:c r="I363"/>
      <x:c r="J363"/>
      <x:c r="K363"/>
      <x:c r="L363"/>
      <x:c r="M363"/>
    </x:row>
    <x:row r="364">
      <x:c r="A364"/>
      <x:c r="B364"/>
      <x:c r="C364"/>
      <x:c r="D364"/>
      <x:c r="E364"/>
      <x:c r="F364"/>
      <x:c r="G364"/>
      <x:c r="H364"/>
      <x:c r="I364"/>
      <x:c r="J364"/>
      <x:c r="K364"/>
      <x:c r="L364"/>
      <x:c r="M364"/>
    </x:row>
    <x:row r="365">
      <x:c r="A365"/>
      <x:c r="B365"/>
      <x:c r="C365"/>
      <x:c r="D365"/>
      <x:c r="E365"/>
      <x:c r="F365"/>
      <x:c r="G365"/>
      <x:c r="H365"/>
      <x:c r="I365"/>
      <x:c r="J365"/>
      <x:c r="K365"/>
      <x:c r="L365"/>
      <x:c r="M365"/>
    </x:row>
    <x:row r="366">
      <x:c r="A366"/>
      <x:c r="B366"/>
      <x:c r="C366"/>
      <x:c r="D366"/>
      <x:c r="E366"/>
      <x:c r="F366"/>
      <x:c r="G366"/>
      <x:c r="H366"/>
      <x:c r="I366"/>
      <x:c r="J366"/>
      <x:c r="K366"/>
      <x:c r="L366"/>
      <x:c r="M366"/>
    </x:row>
    <x:row r="367">
      <x:c r="A367"/>
      <x:c r="B367"/>
      <x:c r="C367"/>
      <x:c r="D367"/>
      <x:c r="E367"/>
      <x:c r="F367"/>
      <x:c r="G367"/>
      <x:c r="H367"/>
      <x:c r="I367"/>
      <x:c r="J367"/>
      <x:c r="K367"/>
      <x:c r="L367"/>
      <x:c r="M367"/>
    </x:row>
    <x:row r="368">
      <x:c r="A368"/>
      <x:c r="B368"/>
      <x:c r="C368"/>
      <x:c r="D368"/>
      <x:c r="E368"/>
      <x:c r="F368"/>
      <x:c r="G368"/>
      <x:c r="H368"/>
      <x:c r="I368"/>
      <x:c r="J368"/>
      <x:c r="K368"/>
      <x:c r="L368"/>
      <x:c r="M368"/>
    </x:row>
    <x:row r="369">
      <x:c r="A369"/>
      <x:c r="B369"/>
      <x:c r="C369"/>
      <x:c r="D369"/>
      <x:c r="E369"/>
      <x:c r="F369"/>
      <x:c r="G369"/>
      <x:c r="H369"/>
      <x:c r="I369"/>
      <x:c r="J369"/>
      <x:c r="K369"/>
      <x:c r="L369"/>
      <x:c r="M369"/>
    </x:row>
    <x:row r="370">
      <x:c r="A370"/>
      <x:c r="B370"/>
      <x:c r="C370"/>
      <x:c r="D370"/>
      <x:c r="E370"/>
      <x:c r="F370"/>
      <x:c r="G370"/>
      <x:c r="H370"/>
      <x:c r="I370"/>
      <x:c r="J370"/>
      <x:c r="K370"/>
      <x:c r="L370"/>
      <x:c r="M370"/>
    </x:row>
    <x:row r="371">
      <x:c r="A371"/>
      <x:c r="B371"/>
      <x:c r="C371"/>
      <x:c r="D371"/>
      <x:c r="E371"/>
      <x:c r="F371"/>
      <x:c r="G371"/>
      <x:c r="H371"/>
      <x:c r="I371"/>
      <x:c r="J371"/>
      <x:c r="K371"/>
      <x:c r="L371"/>
      <x:c r="M371"/>
    </x:row>
    <x:row r="372">
      <x:c r="A372"/>
      <x:c r="B372"/>
      <x:c r="C372"/>
      <x:c r="D372"/>
      <x:c r="E372"/>
      <x:c r="F372"/>
      <x:c r="G372"/>
      <x:c r="H372"/>
      <x:c r="I372"/>
      <x:c r="J372"/>
      <x:c r="K372"/>
      <x:c r="L372"/>
      <x:c r="M372"/>
    </x:row>
    <x:row r="373">
      <x:c r="A373"/>
      <x:c r="B373"/>
      <x:c r="C373"/>
      <x:c r="D373"/>
      <x:c r="E373"/>
      <x:c r="F373"/>
      <x:c r="G373"/>
      <x:c r="H373"/>
      <x:c r="I373"/>
      <x:c r="J373"/>
      <x:c r="K373"/>
      <x:c r="L373"/>
      <x:c r="M373"/>
    </x:row>
    <x:row r="374">
      <x:c r="A374"/>
      <x:c r="B374"/>
      <x:c r="C374"/>
      <x:c r="D374"/>
      <x:c r="E374"/>
      <x:c r="F374"/>
      <x:c r="G374"/>
      <x:c r="H374"/>
      <x:c r="I374"/>
      <x:c r="J374"/>
      <x:c r="K374"/>
      <x:c r="L374"/>
      <x:c r="M374"/>
    </x:row>
    <x:row r="375">
      <x:c r="A375"/>
      <x:c r="B375"/>
      <x:c r="C375"/>
      <x:c r="D375"/>
      <x:c r="E375"/>
      <x:c r="F375"/>
      <x:c r="G375"/>
      <x:c r="H375"/>
      <x:c r="I375"/>
      <x:c r="J375"/>
      <x:c r="K375"/>
      <x:c r="L375"/>
      <x:c r="M375"/>
    </x:row>
    <x:row r="376">
      <x:c r="A376"/>
      <x:c r="B376"/>
      <x:c r="C376"/>
      <x:c r="D376"/>
      <x:c r="E376"/>
      <x:c r="F376"/>
      <x:c r="G376"/>
      <x:c r="H376"/>
      <x:c r="I376"/>
      <x:c r="J376"/>
      <x:c r="K376"/>
      <x:c r="L376"/>
      <x:c r="M376"/>
    </x:row>
    <x:row r="377">
      <x:c r="A377"/>
      <x:c r="B377"/>
      <x:c r="C377"/>
      <x:c r="D377"/>
      <x:c r="E377"/>
      <x:c r="F377"/>
      <x:c r="G377"/>
      <x:c r="H377"/>
      <x:c r="I377"/>
      <x:c r="J377"/>
      <x:c r="K377"/>
      <x:c r="L377"/>
      <x:c r="M377"/>
    </x:row>
    <x:row r="378">
      <x:c r="A378"/>
      <x:c r="B378"/>
      <x:c r="C378"/>
      <x:c r="D378"/>
      <x:c r="E378"/>
      <x:c r="F378"/>
      <x:c r="G378"/>
      <x:c r="H378"/>
      <x:c r="I378"/>
      <x:c r="J378"/>
      <x:c r="K378"/>
      <x:c r="L378"/>
      <x:c r="M378"/>
    </x:row>
    <x:row r="379">
      <x:c r="A379"/>
      <x:c r="B379"/>
      <x:c r="C379"/>
      <x:c r="D379"/>
      <x:c r="E379"/>
      <x:c r="F379"/>
      <x:c r="G379"/>
      <x:c r="H379"/>
      <x:c r="I379"/>
      <x:c r="J379"/>
      <x:c r="K379"/>
      <x:c r="L379"/>
      <x:c r="M379"/>
    </x:row>
    <x:row r="380">
      <x:c r="A380"/>
      <x:c r="B380"/>
      <x:c r="C380"/>
      <x:c r="D380"/>
      <x:c r="E380"/>
      <x:c r="F380"/>
      <x:c r="G380"/>
      <x:c r="H380"/>
      <x:c r="I380"/>
      <x:c r="J380"/>
      <x:c r="K380"/>
      <x:c r="L380"/>
      <x:c r="M380"/>
    </x:row>
    <x:row r="381">
      <x:c r="A381"/>
      <x:c r="B381"/>
      <x:c r="C381"/>
      <x:c r="D381"/>
      <x:c r="E381"/>
      <x:c r="F381"/>
      <x:c r="G381"/>
      <x:c r="H381"/>
      <x:c r="I381"/>
      <x:c r="J381"/>
      <x:c r="K381"/>
      <x:c r="L381"/>
      <x:c r="M381"/>
    </x:row>
    <x:row r="382">
      <x:c r="A382"/>
      <x:c r="B382"/>
      <x:c r="C382"/>
      <x:c r="D382"/>
      <x:c r="E382"/>
      <x:c r="F382"/>
      <x:c r="G382"/>
      <x:c r="H382"/>
      <x:c r="I382"/>
      <x:c r="J382"/>
      <x:c r="K382"/>
      <x:c r="L382"/>
      <x:c r="M382"/>
    </x:row>
    <x:row r="383">
      <x:c r="A383"/>
      <x:c r="B383"/>
      <x:c r="C383"/>
      <x:c r="D383"/>
      <x:c r="E383"/>
      <x:c r="F383"/>
      <x:c r="G383"/>
      <x:c r="H383"/>
      <x:c r="I383"/>
      <x:c r="J383"/>
      <x:c r="K383"/>
      <x:c r="L383"/>
      <x:c r="M383"/>
    </x:row>
    <x:row r="384">
      <x:c r="A384"/>
      <x:c r="B384"/>
      <x:c r="C384"/>
      <x:c r="D384"/>
      <x:c r="E384"/>
      <x:c r="F384"/>
      <x:c r="G384"/>
      <x:c r="H384"/>
      <x:c r="I384"/>
      <x:c r="J384"/>
      <x:c r="K384"/>
      <x:c r="L384"/>
      <x:c r="M384"/>
    </x:row>
    <x:row r="385">
      <x:c r="A385"/>
      <x:c r="B385"/>
      <x:c r="C385"/>
      <x:c r="D385"/>
      <x:c r="E385"/>
      <x:c r="F385"/>
      <x:c r="G385"/>
      <x:c r="H385"/>
      <x:c r="I385"/>
      <x:c r="J385"/>
      <x:c r="K385"/>
      <x:c r="L385"/>
      <x:c r="M385"/>
    </x:row>
    <x:row r="386">
      <x:c r="A386"/>
      <x:c r="B386"/>
      <x:c r="C386"/>
      <x:c r="D386"/>
      <x:c r="E386"/>
      <x:c r="F386"/>
      <x:c r="G386"/>
      <x:c r="H386"/>
      <x:c r="I386"/>
      <x:c r="J386"/>
      <x:c r="K386"/>
      <x:c r="L386"/>
      <x:c r="M386"/>
    </x:row>
    <x:row r="387">
      <x:c r="A387"/>
      <x:c r="B387"/>
      <x:c r="C387"/>
      <x:c r="D387"/>
      <x:c r="E387"/>
      <x:c r="F387"/>
      <x:c r="G387"/>
      <x:c r="H387"/>
      <x:c r="I387"/>
      <x:c r="J387"/>
      <x:c r="K387"/>
      <x:c r="L387"/>
      <x:c r="M387"/>
    </x:row>
    <x:row r="388">
      <x:c r="A388"/>
      <x:c r="B388"/>
      <x:c r="C388"/>
      <x:c r="D388"/>
      <x:c r="E388"/>
      <x:c r="F388"/>
      <x:c r="G388"/>
      <x:c r="H388"/>
      <x:c r="I388"/>
      <x:c r="J388"/>
      <x:c r="K388"/>
      <x:c r="L388"/>
      <x:c r="M388"/>
    </x:row>
    <x:row r="389">
      <x:c r="A389"/>
      <x:c r="B389"/>
      <x:c r="C389"/>
      <x:c r="D389"/>
      <x:c r="E389"/>
      <x:c r="F389"/>
      <x:c r="G389"/>
      <x:c r="H389"/>
      <x:c r="I389"/>
      <x:c r="J389"/>
      <x:c r="K389"/>
      <x:c r="L389"/>
      <x:c r="M389"/>
    </x:row>
    <x:row r="390">
      <x:c r="A390"/>
      <x:c r="B390"/>
      <x:c r="C390"/>
      <x:c r="D390"/>
      <x:c r="E390"/>
      <x:c r="F390"/>
      <x:c r="G390"/>
      <x:c r="H390"/>
      <x:c r="I390"/>
      <x:c r="J390"/>
      <x:c r="K390"/>
      <x:c r="L390"/>
      <x:c r="M390"/>
    </x:row>
    <x:row r="391">
      <x:c r="A391"/>
      <x:c r="B391"/>
      <x:c r="C391"/>
      <x:c r="D391"/>
      <x:c r="E391"/>
      <x:c r="F391"/>
      <x:c r="G391"/>
      <x:c r="H391"/>
      <x:c r="I391"/>
      <x:c r="J391"/>
      <x:c r="K391"/>
      <x:c r="L391"/>
      <x:c r="M391"/>
    </x:row>
    <x:row r="392">
      <x:c r="A392"/>
      <x:c r="B392"/>
      <x:c r="C392"/>
      <x:c r="D392"/>
      <x:c r="E392"/>
      <x:c r="F392"/>
      <x:c r="G392"/>
      <x:c r="H392"/>
      <x:c r="I392"/>
      <x:c r="J392"/>
      <x:c r="K392"/>
      <x:c r="L392"/>
      <x:c r="M392"/>
    </x:row>
    <x:row r="393">
      <x:c r="A393"/>
      <x:c r="B393"/>
      <x:c r="C393"/>
      <x:c r="D393"/>
      <x:c r="E393"/>
      <x:c r="F393"/>
      <x:c r="G393"/>
      <x:c r="H393"/>
      <x:c r="I393"/>
      <x:c r="J393"/>
      <x:c r="K393"/>
      <x:c r="L393"/>
      <x:c r="M393"/>
    </x:row>
    <x:row r="394">
      <x:c r="A394"/>
      <x:c r="B394"/>
      <x:c r="C394"/>
      <x:c r="D394"/>
      <x:c r="E394"/>
      <x:c r="F394"/>
      <x:c r="G394"/>
      <x:c r="H394"/>
      <x:c r="I394"/>
      <x:c r="J394"/>
      <x:c r="K394"/>
      <x:c r="L394"/>
      <x:c r="M394"/>
    </x:row>
    <x:row r="395">
      <x:c r="A395"/>
      <x:c r="B395"/>
      <x:c r="C395"/>
      <x:c r="D395"/>
      <x:c r="E395"/>
      <x:c r="F395"/>
      <x:c r="G395"/>
      <x:c r="H395"/>
      <x:c r="I395"/>
      <x:c r="J395"/>
      <x:c r="K395"/>
      <x:c r="L395"/>
      <x:c r="M395"/>
    </x:row>
    <x:row r="396">
      <x:c r="A396"/>
      <x:c r="B396"/>
      <x:c r="C396"/>
      <x:c r="D396"/>
      <x:c r="E396"/>
      <x:c r="F396"/>
      <x:c r="G396"/>
      <x:c r="H396"/>
      <x:c r="I396"/>
      <x:c r="J396"/>
      <x:c r="K396"/>
      <x:c r="L396"/>
      <x:c r="M396"/>
    </x:row>
    <x:row r="397">
      <x:c r="A397"/>
      <x:c r="B397"/>
      <x:c r="C397"/>
      <x:c r="D397"/>
      <x:c r="E397"/>
      <x:c r="F397"/>
      <x:c r="G397"/>
      <x:c r="H397"/>
      <x:c r="I397"/>
      <x:c r="J397"/>
      <x:c r="K397"/>
      <x:c r="L397"/>
      <x:c r="M397"/>
    </x:row>
    <x:row r="398">
      <x:c r="A398"/>
      <x:c r="B398"/>
      <x:c r="C398"/>
      <x:c r="D398"/>
      <x:c r="E398"/>
      <x:c r="F398"/>
      <x:c r="G398"/>
      <x:c r="H398"/>
      <x:c r="I398"/>
      <x:c r="J398"/>
      <x:c r="K398"/>
      <x:c r="L398"/>
      <x:c r="M398"/>
    </x:row>
    <x:row r="399">
      <x:c r="A399"/>
      <x:c r="B399"/>
      <x:c r="C399"/>
      <x:c r="D399"/>
      <x:c r="E399"/>
      <x:c r="F399"/>
      <x:c r="G399"/>
      <x:c r="H399"/>
      <x:c r="I399"/>
      <x:c r="J399"/>
      <x:c r="K399"/>
      <x:c r="L399"/>
      <x:c r="M399"/>
    </x:row>
    <x:row r="400">
      <x:c r="A400"/>
      <x:c r="B400"/>
      <x:c r="C400"/>
      <x:c r="D400"/>
      <x:c r="E400"/>
      <x:c r="F400"/>
      <x:c r="G400"/>
      <x:c r="H400"/>
      <x:c r="I400"/>
      <x:c r="J400"/>
      <x:c r="K400"/>
      <x:c r="L400"/>
      <x:c r="M400"/>
    </x:row>
    <x:row r="401">
      <x:c r="A401"/>
      <x:c r="B401"/>
      <x:c r="C401"/>
      <x:c r="D401"/>
      <x:c r="E401"/>
      <x:c r="F401"/>
      <x:c r="G401"/>
      <x:c r="H401"/>
      <x:c r="I401"/>
      <x:c r="J401"/>
      <x:c r="K401"/>
      <x:c r="L401"/>
      <x:c r="M401"/>
    </x:row>
    <x:row r="402">
      <x:c r="A402"/>
      <x:c r="B402"/>
      <x:c r="C402"/>
      <x:c r="D402"/>
      <x:c r="E402"/>
      <x:c r="F402"/>
      <x:c r="G402"/>
      <x:c r="H402"/>
      <x:c r="I402"/>
      <x:c r="J402"/>
      <x:c r="K402"/>
      <x:c r="L402"/>
      <x:c r="M402"/>
    </x:row>
    <x:row r="403">
      <x:c r="A403"/>
      <x:c r="B403"/>
      <x:c r="C403"/>
      <x:c r="D403"/>
      <x:c r="E403"/>
      <x:c r="F403"/>
      <x:c r="G403"/>
      <x:c r="H403"/>
      <x:c r="I403"/>
      <x:c r="J403"/>
      <x:c r="K403"/>
      <x:c r="L403"/>
      <x:c r="M403"/>
    </x:row>
    <x:row r="404">
      <x:c r="A404"/>
      <x:c r="B404"/>
      <x:c r="C404"/>
      <x:c r="D404"/>
      <x:c r="E404"/>
      <x:c r="F404"/>
      <x:c r="G404"/>
      <x:c r="H404"/>
      <x:c r="I404"/>
      <x:c r="J404"/>
      <x:c r="K404"/>
      <x:c r="L404"/>
      <x:c r="M404"/>
    </x:row>
    <x:row r="405">
      <x:c r="A405"/>
      <x:c r="B405"/>
      <x:c r="C405"/>
      <x:c r="D405"/>
      <x:c r="E405"/>
      <x:c r="F405"/>
      <x:c r="G405"/>
      <x:c r="H405"/>
      <x:c r="I405"/>
      <x:c r="J405"/>
      <x:c r="K405"/>
      <x:c r="L405"/>
      <x:c r="M405"/>
    </x:row>
    <x:row r="406">
      <x:c r="A406"/>
      <x:c r="B406"/>
      <x:c r="C406"/>
      <x:c r="D406"/>
      <x:c r="E406"/>
      <x:c r="F406"/>
      <x:c r="G406"/>
      <x:c r="H406"/>
      <x:c r="I406"/>
      <x:c r="J406"/>
      <x:c r="K406"/>
      <x:c r="L406"/>
      <x:c r="M406"/>
    </x:row>
    <x:row r="407">
      <x:c r="A407"/>
      <x:c r="B407"/>
      <x:c r="C407"/>
      <x:c r="D407"/>
      <x:c r="E407"/>
      <x:c r="F407"/>
      <x:c r="G407"/>
      <x:c r="H407"/>
      <x:c r="I407"/>
      <x:c r="J407"/>
      <x:c r="K407"/>
      <x:c r="L407"/>
      <x:c r="M407"/>
    </x:row>
    <x:row r="408">
      <x:c r="A408"/>
      <x:c r="B408"/>
      <x:c r="C408"/>
      <x:c r="D408"/>
      <x:c r="E408"/>
      <x:c r="F408"/>
      <x:c r="G408"/>
      <x:c r="H408"/>
      <x:c r="I408"/>
      <x:c r="J408"/>
      <x:c r="K408"/>
      <x:c r="L408"/>
      <x:c r="M408"/>
    </x:row>
    <x:row r="409">
      <x:c r="A409"/>
      <x:c r="B409"/>
      <x:c r="C409"/>
      <x:c r="D409"/>
      <x:c r="E409"/>
      <x:c r="F409"/>
      <x:c r="G409"/>
      <x:c r="H409"/>
      <x:c r="I409"/>
      <x:c r="J409"/>
      <x:c r="K409"/>
      <x:c r="L409"/>
      <x:c r="M409"/>
    </x:row>
    <x:row r="410">
      <x:c r="A410"/>
      <x:c r="B410"/>
      <x:c r="C410"/>
      <x:c r="D410"/>
      <x:c r="E410"/>
      <x:c r="F410"/>
      <x:c r="G410"/>
      <x:c r="H410"/>
      <x:c r="I410"/>
      <x:c r="J410"/>
      <x:c r="K410"/>
      <x:c r="L410"/>
      <x:c r="M410"/>
    </x:row>
    <x:row r="411">
      <x:c r="A411"/>
      <x:c r="B411"/>
      <x:c r="C411"/>
      <x:c r="D411"/>
      <x:c r="E411"/>
      <x:c r="F411"/>
      <x:c r="G411"/>
      <x:c r="H411"/>
      <x:c r="I411"/>
      <x:c r="J411"/>
      <x:c r="K411"/>
      <x:c r="L411"/>
      <x:c r="M411"/>
    </x:row>
    <x:row r="412">
      <x:c r="A412"/>
      <x:c r="B412"/>
      <x:c r="C412"/>
      <x:c r="D412"/>
      <x:c r="E412"/>
      <x:c r="F412"/>
      <x:c r="G412"/>
      <x:c r="H412"/>
      <x:c r="I412"/>
      <x:c r="J412"/>
      <x:c r="K412"/>
      <x:c r="L412"/>
      <x:c r="M412"/>
    </x:row>
    <x:row r="413">
      <x:c r="A413"/>
      <x:c r="B413"/>
      <x:c r="C413"/>
      <x:c r="D413"/>
      <x:c r="E413"/>
      <x:c r="F413"/>
      <x:c r="G413"/>
      <x:c r="H413"/>
      <x:c r="I413"/>
      <x:c r="J413"/>
      <x:c r="K413"/>
      <x:c r="L413"/>
      <x:c r="M413"/>
    </x:row>
    <x:row r="414">
      <x:c r="A414"/>
      <x:c r="B414"/>
      <x:c r="C414"/>
      <x:c r="D414"/>
      <x:c r="E414"/>
      <x:c r="F414"/>
      <x:c r="G414"/>
      <x:c r="H414"/>
      <x:c r="I414"/>
      <x:c r="J414"/>
      <x:c r="K414"/>
      <x:c r="L414"/>
      <x:c r="M414"/>
    </x:row>
    <x:row r="415">
      <x:c r="A415"/>
      <x:c r="B415"/>
      <x:c r="C415"/>
      <x:c r="D415"/>
      <x:c r="E415"/>
      <x:c r="F415"/>
      <x:c r="G415"/>
      <x:c r="H415"/>
      <x:c r="I415"/>
      <x:c r="J415"/>
      <x:c r="K415"/>
      <x:c r="L415"/>
      <x:c r="M415"/>
    </x:row>
    <x:row r="416">
      <x:c r="A416"/>
      <x:c r="B416"/>
      <x:c r="C416"/>
      <x:c r="D416"/>
      <x:c r="E416"/>
      <x:c r="F416"/>
      <x:c r="G416"/>
      <x:c r="H416"/>
      <x:c r="I416"/>
      <x:c r="J416"/>
      <x:c r="K416"/>
      <x:c r="L416"/>
      <x:c r="M416"/>
    </x:row>
    <x:row r="417">
      <x:c r="A417"/>
      <x:c r="B417"/>
      <x:c r="C417"/>
      <x:c r="D417"/>
      <x:c r="E417"/>
      <x:c r="F417"/>
      <x:c r="G417"/>
      <x:c r="H417"/>
      <x:c r="I417"/>
      <x:c r="J417"/>
      <x:c r="K417"/>
      <x:c r="L417"/>
      <x:c r="M417"/>
    </x:row>
    <x:row r="418">
      <x:c r="A418"/>
      <x:c r="B418"/>
      <x:c r="C418"/>
      <x:c r="D418"/>
      <x:c r="E418"/>
      <x:c r="F418"/>
      <x:c r="G418"/>
      <x:c r="H418"/>
      <x:c r="I418"/>
      <x:c r="J418"/>
      <x:c r="K418"/>
      <x:c r="L418"/>
      <x:c r="M418"/>
    </x:row>
    <x:row r="419">
      <x:c r="A419"/>
      <x:c r="B419"/>
      <x:c r="C419"/>
      <x:c r="D419"/>
      <x:c r="E419"/>
      <x:c r="F419"/>
      <x:c r="G419"/>
      <x:c r="H419"/>
      <x:c r="I419"/>
      <x:c r="J419"/>
      <x:c r="K419"/>
      <x:c r="L419"/>
      <x:c r="M419"/>
    </x:row>
    <x:row r="420">
      <x:c r="A420"/>
      <x:c r="B420"/>
      <x:c r="C420"/>
      <x:c r="D420"/>
      <x:c r="E420"/>
      <x:c r="F420"/>
      <x:c r="G420"/>
      <x:c r="H420"/>
      <x:c r="I420"/>
      <x:c r="J420"/>
      <x:c r="K420"/>
      <x:c r="L420"/>
      <x:c r="M420"/>
    </x:row>
    <x:row r="421">
      <x:c r="A421"/>
      <x:c r="B421"/>
      <x:c r="C421"/>
      <x:c r="D421"/>
      <x:c r="E421"/>
      <x:c r="F421"/>
      <x:c r="G421"/>
      <x:c r="H421"/>
      <x:c r="I421"/>
      <x:c r="J421"/>
      <x:c r="K421"/>
      <x:c r="L421"/>
      <x:c r="M421"/>
    </x:row>
    <x:row r="422">
      <x:c r="A422"/>
      <x:c r="B422"/>
      <x:c r="C422"/>
      <x:c r="D422"/>
      <x:c r="E422"/>
      <x:c r="F422"/>
      <x:c r="G422"/>
      <x:c r="H422"/>
      <x:c r="I422"/>
      <x:c r="J422"/>
      <x:c r="K422"/>
      <x:c r="L422"/>
      <x:c r="M422"/>
    </x:row>
    <x:row r="423">
      <x:c r="A423"/>
      <x:c r="B423"/>
      <x:c r="C423"/>
      <x:c r="D423"/>
      <x:c r="E423"/>
      <x:c r="F423"/>
      <x:c r="G423"/>
      <x:c r="H423"/>
      <x:c r="I423"/>
      <x:c r="J423"/>
      <x:c r="K423"/>
      <x:c r="L423"/>
      <x:c r="M423"/>
    </x:row>
    <x:row r="424">
      <x:c r="A424"/>
      <x:c r="B424"/>
      <x:c r="C424"/>
      <x:c r="D424"/>
      <x:c r="E424"/>
      <x:c r="F424"/>
      <x:c r="G424"/>
      <x:c r="H424"/>
      <x:c r="I424"/>
      <x:c r="J424"/>
      <x:c r="K424"/>
      <x:c r="L424"/>
      <x:c r="M424"/>
    </x:row>
    <x:row r="425">
      <x:c r="A425"/>
      <x:c r="B425"/>
      <x:c r="C425"/>
      <x:c r="D425"/>
      <x:c r="E425"/>
      <x:c r="F425"/>
      <x:c r="G425"/>
      <x:c r="H425"/>
      <x:c r="I425"/>
      <x:c r="J425"/>
      <x:c r="K425"/>
      <x:c r="L425"/>
      <x:c r="M425"/>
    </x:row>
    <x:row r="426">
      <x:c r="A426"/>
      <x:c r="B426"/>
      <x:c r="C426"/>
      <x:c r="D426"/>
      <x:c r="E426"/>
      <x:c r="F426"/>
      <x:c r="G426"/>
      <x:c r="H426"/>
      <x:c r="I426"/>
      <x:c r="J426"/>
      <x:c r="K426"/>
      <x:c r="L426"/>
      <x:c r="M426"/>
    </x:row>
    <x:row r="427">
      <x:c r="A427"/>
      <x:c r="B427"/>
      <x:c r="C427"/>
      <x:c r="D427"/>
      <x:c r="E427"/>
      <x:c r="F427"/>
      <x:c r="G427"/>
      <x:c r="H427"/>
      <x:c r="I427"/>
      <x:c r="J427"/>
      <x:c r="K427"/>
      <x:c r="L427"/>
      <x:c r="M427"/>
    </x:row>
    <x:row r="428">
      <x:c r="A428"/>
      <x:c r="B428"/>
      <x:c r="C428"/>
      <x:c r="D428"/>
      <x:c r="E428"/>
      <x:c r="F428"/>
      <x:c r="G428"/>
      <x:c r="H428"/>
      <x:c r="I428"/>
      <x:c r="J428"/>
      <x:c r="K428"/>
      <x:c r="L428"/>
      <x:c r="M428"/>
    </x:row>
    <x:row r="429">
      <x:c r="A429"/>
      <x:c r="B429"/>
      <x:c r="C429"/>
      <x:c r="D429"/>
      <x:c r="E429"/>
      <x:c r="F429"/>
      <x:c r="G429"/>
      <x:c r="H429"/>
      <x:c r="I429"/>
      <x:c r="J429"/>
      <x:c r="K429"/>
      <x:c r="L429"/>
      <x:c r="M429"/>
    </x:row>
    <x:row r="430">
      <x:c r="A430"/>
      <x:c r="B430"/>
      <x:c r="C430"/>
      <x:c r="D430"/>
      <x:c r="E430"/>
      <x:c r="F430"/>
      <x:c r="G430"/>
      <x:c r="H430"/>
      <x:c r="I430"/>
      <x:c r="J430"/>
      <x:c r="K430"/>
      <x:c r="L430"/>
      <x:c r="M430"/>
    </x:row>
    <x:row r="431">
      <x:c r="A431"/>
      <x:c r="B431"/>
      <x:c r="C431"/>
      <x:c r="D431"/>
      <x:c r="E431"/>
      <x:c r="F431"/>
      <x:c r="G431"/>
      <x:c r="H431"/>
      <x:c r="I431"/>
      <x:c r="J431"/>
      <x:c r="K431"/>
      <x:c r="L431"/>
      <x:c r="M431"/>
    </x:row>
    <x:row r="432">
      <x:c r="A432"/>
      <x:c r="B432"/>
      <x:c r="C432"/>
      <x:c r="D432"/>
      <x:c r="E432"/>
      <x:c r="F432"/>
      <x:c r="G432"/>
      <x:c r="H432"/>
      <x:c r="I432"/>
      <x:c r="J432"/>
      <x:c r="K432"/>
      <x:c r="L432"/>
      <x:c r="M432"/>
    </x:row>
    <x:row r="433">
      <x:c r="A433"/>
      <x:c r="B433"/>
      <x:c r="C433"/>
      <x:c r="D433"/>
      <x:c r="E433"/>
      <x:c r="F433"/>
      <x:c r="G433"/>
      <x:c r="H433"/>
      <x:c r="I433"/>
      <x:c r="J433"/>
      <x:c r="K433"/>
      <x:c r="L433"/>
      <x:c r="M433"/>
    </x:row>
    <x:row r="434">
      <x:c r="A434"/>
      <x:c r="B434"/>
      <x:c r="C434"/>
      <x:c r="D434"/>
      <x:c r="E434"/>
      <x:c r="F434"/>
      <x:c r="G434"/>
      <x:c r="H434"/>
      <x:c r="I434"/>
      <x:c r="J434"/>
      <x:c r="K434"/>
      <x:c r="L434"/>
      <x:c r="M434"/>
    </x:row>
    <x:row r="435">
      <x:c r="A435"/>
      <x:c r="B435"/>
      <x:c r="C435"/>
      <x:c r="D435"/>
      <x:c r="E435"/>
      <x:c r="F435"/>
      <x:c r="G435"/>
      <x:c r="H435"/>
      <x:c r="I435"/>
      <x:c r="J435"/>
      <x:c r="K435"/>
      <x:c r="L435"/>
      <x:c r="M435"/>
    </x:row>
    <x:row r="436">
      <x:c r="A436"/>
      <x:c r="B436"/>
      <x:c r="C436"/>
      <x:c r="D436"/>
      <x:c r="E436"/>
      <x:c r="F436"/>
      <x:c r="G436"/>
      <x:c r="H436"/>
      <x:c r="I436"/>
      <x:c r="J436"/>
      <x:c r="K436"/>
      <x:c r="L436"/>
      <x:c r="M436"/>
    </x:row>
    <x:row r="437">
      <x:c r="A437"/>
      <x:c r="B437"/>
      <x:c r="C437"/>
      <x:c r="D437"/>
      <x:c r="E437"/>
      <x:c r="F437"/>
      <x:c r="G437"/>
      <x:c r="H437"/>
      <x:c r="I437"/>
      <x:c r="J437"/>
      <x:c r="K437"/>
      <x:c r="L437"/>
      <x:c r="M437"/>
    </x:row>
    <x:row r="438">
      <x:c r="A438"/>
      <x:c r="B438"/>
      <x:c r="C438"/>
      <x:c r="D438"/>
      <x:c r="E438"/>
      <x:c r="F438"/>
      <x:c r="G438"/>
      <x:c r="H438"/>
      <x:c r="I438"/>
      <x:c r="J438"/>
      <x:c r="K438"/>
      <x:c r="L438"/>
      <x:c r="M438"/>
    </x:row>
    <x:row r="439">
      <x:c r="A439"/>
      <x:c r="B439"/>
      <x:c r="C439"/>
      <x:c r="D439"/>
      <x:c r="E439"/>
      <x:c r="F439"/>
      <x:c r="G439"/>
      <x:c r="H439"/>
      <x:c r="I439"/>
      <x:c r="J439"/>
      <x:c r="K439"/>
      <x:c r="L439"/>
      <x:c r="M439"/>
    </x:row>
    <x:row r="440">
      <x:c r="A440"/>
      <x:c r="B440"/>
      <x:c r="C440"/>
      <x:c r="D440"/>
      <x:c r="E440"/>
      <x:c r="F440"/>
      <x:c r="G440"/>
      <x:c r="H440"/>
      <x:c r="I440"/>
      <x:c r="J440"/>
      <x:c r="K440"/>
      <x:c r="L440"/>
      <x:c r="M440"/>
    </x:row>
    <x:row r="441">
      <x:c r="A441"/>
      <x:c r="B441"/>
      <x:c r="C441"/>
      <x:c r="D441"/>
      <x:c r="E441"/>
      <x:c r="F441"/>
      <x:c r="G441"/>
      <x:c r="H441"/>
      <x:c r="I441"/>
      <x:c r="J441"/>
      <x:c r="K441"/>
      <x:c r="L441"/>
      <x:c r="M441"/>
    </x:row>
    <x:row r="442">
      <x:c r="A442"/>
      <x:c r="B442"/>
      <x:c r="C442"/>
      <x:c r="D442"/>
      <x:c r="E442"/>
      <x:c r="F442"/>
      <x:c r="G442"/>
      <x:c r="H442"/>
      <x:c r="I442"/>
      <x:c r="J442"/>
      <x:c r="K442"/>
      <x:c r="L442"/>
      <x:c r="M442"/>
    </x:row>
    <x:row r="443">
      <x:c r="A443"/>
      <x:c r="B443"/>
      <x:c r="C443"/>
      <x:c r="D443"/>
      <x:c r="E443"/>
      <x:c r="F443"/>
      <x:c r="G443"/>
      <x:c r="H443"/>
      <x:c r="I443"/>
      <x:c r="J443"/>
      <x:c r="K443"/>
      <x:c r="L443"/>
      <x:c r="M443"/>
    </x:row>
    <x:row r="444">
      <x:c r="A444"/>
      <x:c r="B444"/>
      <x:c r="C444"/>
      <x:c r="D444"/>
      <x:c r="E444"/>
      <x:c r="F444"/>
      <x:c r="G444"/>
      <x:c r="H444"/>
      <x:c r="I444"/>
      <x:c r="J444"/>
      <x:c r="K444"/>
      <x:c r="L444"/>
      <x:c r="M444"/>
    </x:row>
    <x:row r="445">
      <x:c r="A445"/>
      <x:c r="B445"/>
      <x:c r="C445"/>
      <x:c r="D445"/>
      <x:c r="E445"/>
      <x:c r="F445"/>
      <x:c r="G445"/>
      <x:c r="H445"/>
      <x:c r="I445"/>
      <x:c r="J445"/>
      <x:c r="K445"/>
      <x:c r="L445"/>
      <x:c r="M445"/>
    </x:row>
    <x:row r="446">
      <x:c r="A446"/>
      <x:c r="B446"/>
      <x:c r="C446"/>
      <x:c r="D446"/>
      <x:c r="E446"/>
      <x:c r="F446"/>
      <x:c r="G446"/>
      <x:c r="H446"/>
      <x:c r="I446"/>
      <x:c r="J446"/>
      <x:c r="K446"/>
      <x:c r="L446"/>
      <x:c r="M446"/>
    </x:row>
    <x:row r="447">
      <x:c r="A447"/>
      <x:c r="B447"/>
      <x:c r="C447"/>
      <x:c r="D447"/>
      <x:c r="E447"/>
      <x:c r="F447"/>
      <x:c r="G447"/>
      <x:c r="H447"/>
      <x:c r="I447"/>
      <x:c r="J447"/>
      <x:c r="K447"/>
      <x:c r="L447"/>
      <x:c r="M447"/>
    </x:row>
    <x:row r="448">
      <x:c r="A448"/>
      <x:c r="B448"/>
      <x:c r="C448"/>
      <x:c r="D448"/>
      <x:c r="E448"/>
      <x:c r="F448"/>
      <x:c r="G448"/>
      <x:c r="H448"/>
      <x:c r="I448"/>
      <x:c r="J448"/>
      <x:c r="K448"/>
      <x:c r="L448"/>
      <x:c r="M448"/>
    </x:row>
    <x:row r="449">
      <x:c r="A449"/>
      <x:c r="B449"/>
      <x:c r="C449"/>
      <x:c r="D449"/>
      <x:c r="E449"/>
      <x:c r="F449"/>
      <x:c r="G449"/>
      <x:c r="H449"/>
      <x:c r="I449"/>
      <x:c r="J449"/>
      <x:c r="K449"/>
      <x:c r="L449"/>
      <x:c r="M449"/>
    </x:row>
    <x:row r="450">
      <x:c r="A450"/>
      <x:c r="B450"/>
      <x:c r="C450"/>
      <x:c r="D450"/>
      <x:c r="E450"/>
      <x:c r="F450"/>
      <x:c r="G450"/>
      <x:c r="H450"/>
      <x:c r="I450"/>
      <x:c r="J450"/>
      <x:c r="K450"/>
      <x:c r="L450"/>
      <x:c r="M450"/>
    </x:row>
    <x:row r="451">
      <x:c r="A451"/>
      <x:c r="B451"/>
      <x:c r="C451"/>
      <x:c r="D451"/>
      <x:c r="E451"/>
      <x:c r="F451"/>
      <x:c r="G451"/>
      <x:c r="H451"/>
      <x:c r="I451"/>
      <x:c r="J451"/>
      <x:c r="K451"/>
      <x:c r="L451"/>
      <x:c r="M451"/>
    </x:row>
    <x:row r="452">
      <x:c r="A452"/>
      <x:c r="B452"/>
      <x:c r="C452"/>
      <x:c r="D452"/>
      <x:c r="E452"/>
      <x:c r="F452"/>
      <x:c r="G452"/>
      <x:c r="H452"/>
      <x:c r="I452"/>
      <x:c r="J452"/>
      <x:c r="K452"/>
      <x:c r="L452"/>
      <x:c r="M452"/>
    </x:row>
    <x:row r="453">
      <x:c r="A453"/>
      <x:c r="B453"/>
      <x:c r="C453"/>
      <x:c r="D453"/>
      <x:c r="E453"/>
      <x:c r="F453"/>
      <x:c r="G453"/>
      <x:c r="H453"/>
      <x:c r="I453"/>
      <x:c r="J453"/>
      <x:c r="K453"/>
      <x:c r="L453"/>
      <x:c r="M453"/>
    </x:row>
    <x:row r="454">
      <x:c r="A454"/>
      <x:c r="B454"/>
      <x:c r="C454"/>
      <x:c r="D454"/>
      <x:c r="E454"/>
      <x:c r="F454"/>
      <x:c r="G454"/>
      <x:c r="H454"/>
      <x:c r="I454"/>
      <x:c r="J454"/>
      <x:c r="K454"/>
      <x:c r="L454"/>
      <x:c r="M454"/>
    </x:row>
    <x:row r="455">
      <x:c r="A455"/>
      <x:c r="B455"/>
      <x:c r="C455"/>
      <x:c r="D455"/>
      <x:c r="E455"/>
      <x:c r="F455"/>
      <x:c r="G455"/>
      <x:c r="H455"/>
      <x:c r="I455"/>
      <x:c r="J455"/>
      <x:c r="K455"/>
      <x:c r="L455"/>
      <x:c r="M455"/>
    </x:row>
    <x:row r="456">
      <x:c r="A456"/>
      <x:c r="B456"/>
      <x:c r="C456"/>
      <x:c r="D456"/>
      <x:c r="E456"/>
      <x:c r="F456"/>
      <x:c r="G456"/>
      <x:c r="H456"/>
      <x:c r="I456"/>
      <x:c r="J456"/>
      <x:c r="K456"/>
      <x:c r="L456"/>
      <x:c r="M456"/>
    </x:row>
    <x:row r="457">
      <x:c r="A457"/>
      <x:c r="B457"/>
      <x:c r="C457"/>
      <x:c r="D457"/>
      <x:c r="E457"/>
      <x:c r="F457"/>
      <x:c r="G457"/>
      <x:c r="H457"/>
      <x:c r="I457"/>
      <x:c r="J457"/>
      <x:c r="K457"/>
      <x:c r="L457"/>
      <x:c r="M457"/>
    </x:row>
    <x:row r="458">
      <x:c r="A458"/>
      <x:c r="B458"/>
      <x:c r="C458"/>
      <x:c r="D458"/>
      <x:c r="E458"/>
      <x:c r="F458"/>
      <x:c r="G458"/>
      <x:c r="H458"/>
      <x:c r="I458"/>
      <x:c r="J458"/>
      <x:c r="K458"/>
      <x:c r="L458"/>
      <x:c r="M458"/>
    </x:row>
    <x:row r="459">
      <x:c r="A459"/>
      <x:c r="B459"/>
      <x:c r="C459"/>
      <x:c r="D459"/>
      <x:c r="E459"/>
      <x:c r="F459"/>
      <x:c r="G459"/>
      <x:c r="H459"/>
      <x:c r="I459"/>
      <x:c r="J459"/>
      <x:c r="K459"/>
      <x:c r="L459"/>
      <x:c r="M459"/>
    </x:row>
    <x:row r="460">
      <x:c r="A460"/>
      <x:c r="B460"/>
      <x:c r="C460"/>
      <x:c r="D460"/>
      <x:c r="E460"/>
      <x:c r="F460"/>
      <x:c r="G460"/>
      <x:c r="H460"/>
      <x:c r="I460"/>
      <x:c r="J460"/>
      <x:c r="K460"/>
      <x:c r="L460"/>
      <x:c r="M460"/>
    </x:row>
    <x:row r="461">
      <x:c r="A461"/>
      <x:c r="B461"/>
      <x:c r="C461"/>
      <x:c r="D461"/>
      <x:c r="E461"/>
      <x:c r="F461"/>
      <x:c r="G461"/>
      <x:c r="H461"/>
      <x:c r="I461"/>
      <x:c r="J461"/>
      <x:c r="K461"/>
      <x:c r="L461"/>
      <x:c r="M461"/>
    </x:row>
    <x:row r="462">
      <x:c r="A462"/>
      <x:c r="B462"/>
      <x:c r="C462"/>
      <x:c r="D462"/>
      <x:c r="E462"/>
      <x:c r="F462"/>
      <x:c r="G462"/>
      <x:c r="H462"/>
      <x:c r="I462"/>
      <x:c r="J462"/>
      <x:c r="K462"/>
      <x:c r="L462"/>
      <x:c r="M462"/>
    </x:row>
    <x:row r="463">
      <x:c r="A463"/>
      <x:c r="B463"/>
      <x:c r="C463"/>
      <x:c r="D463"/>
      <x:c r="E463"/>
      <x:c r="F463"/>
      <x:c r="G463"/>
      <x:c r="H463"/>
      <x:c r="I463"/>
      <x:c r="J463"/>
      <x:c r="K463"/>
      <x:c r="L463"/>
      <x:c r="M463"/>
    </x:row>
    <x:row r="464">
      <x:c r="A464"/>
      <x:c r="B464"/>
      <x:c r="C464"/>
      <x:c r="D464"/>
      <x:c r="E464"/>
      <x:c r="F464"/>
      <x:c r="G464"/>
      <x:c r="H464"/>
      <x:c r="I464"/>
      <x:c r="J464"/>
      <x:c r="K464"/>
      <x:c r="L464"/>
      <x:c r="M464"/>
    </x:row>
    <x:row r="465">
      <x:c r="A465"/>
      <x:c r="B465"/>
      <x:c r="C465"/>
      <x:c r="D465"/>
      <x:c r="E465"/>
      <x:c r="F465"/>
      <x:c r="G465"/>
      <x:c r="H465"/>
      <x:c r="I465"/>
      <x:c r="J465"/>
      <x:c r="K465"/>
      <x:c r="L465"/>
      <x:c r="M465"/>
    </x:row>
    <x:row r="466">
      <x:c r="A466"/>
      <x:c r="B466"/>
      <x:c r="C466"/>
      <x:c r="D466"/>
      <x:c r="E466"/>
      <x:c r="F466"/>
      <x:c r="G466"/>
      <x:c r="H466"/>
      <x:c r="I466"/>
      <x:c r="J466"/>
      <x:c r="K466"/>
      <x:c r="L466"/>
      <x:c r="M466"/>
    </x:row>
    <x:row r="467">
      <x:c r="A467"/>
      <x:c r="B467"/>
      <x:c r="C467"/>
      <x:c r="D467"/>
      <x:c r="E467"/>
      <x:c r="F467"/>
      <x:c r="G467"/>
      <x:c r="H467"/>
      <x:c r="I467"/>
      <x:c r="J467"/>
      <x:c r="K467"/>
      <x:c r="L467"/>
      <x:c r="M467"/>
    </x:row>
    <x:row r="468">
      <x:c r="A468"/>
      <x:c r="B468"/>
      <x:c r="C468"/>
      <x:c r="D468"/>
      <x:c r="E468"/>
      <x:c r="F468"/>
      <x:c r="G468"/>
      <x:c r="H468"/>
      <x:c r="I468"/>
      <x:c r="J468"/>
      <x:c r="K468"/>
      <x:c r="L468"/>
      <x:c r="M468"/>
    </x:row>
    <x:row r="469">
      <x:c r="A469"/>
      <x:c r="B469"/>
      <x:c r="C469"/>
      <x:c r="D469"/>
      <x:c r="E469"/>
      <x:c r="F469"/>
      <x:c r="G469"/>
      <x:c r="H469"/>
      <x:c r="I469"/>
      <x:c r="J469"/>
      <x:c r="K469"/>
      <x:c r="L469"/>
      <x:c r="M469"/>
    </x:row>
    <x:row r="470">
      <x:c r="A470"/>
      <x:c r="B470"/>
      <x:c r="C470"/>
      <x:c r="D470"/>
      <x:c r="E470"/>
      <x:c r="F470"/>
      <x:c r="G470"/>
      <x:c r="H470"/>
      <x:c r="I470"/>
      <x:c r="J470"/>
      <x:c r="K470"/>
      <x:c r="L470"/>
      <x:c r="M470"/>
    </x:row>
    <x:row r="471">
      <x:c r="A471"/>
      <x:c r="B471"/>
      <x:c r="C471"/>
      <x:c r="D471"/>
      <x:c r="E471"/>
      <x:c r="F471"/>
      <x:c r="G471"/>
      <x:c r="H471"/>
      <x:c r="I471"/>
      <x:c r="J471"/>
      <x:c r="K471"/>
      <x:c r="L471"/>
      <x:c r="M471"/>
    </x:row>
    <x:row r="472">
      <x:c r="A472"/>
      <x:c r="B472"/>
      <x:c r="C472"/>
      <x:c r="D472"/>
      <x:c r="E472"/>
      <x:c r="F472"/>
      <x:c r="G472"/>
      <x:c r="H472"/>
      <x:c r="I472"/>
      <x:c r="J472"/>
      <x:c r="K472"/>
      <x:c r="L472"/>
      <x:c r="M472"/>
    </x:row>
    <x:row r="473">
      <x:c r="A473"/>
      <x:c r="B473"/>
      <x:c r="C473"/>
      <x:c r="D473"/>
      <x:c r="E473"/>
      <x:c r="F473"/>
      <x:c r="G473"/>
      <x:c r="H473"/>
      <x:c r="I473"/>
      <x:c r="J473"/>
      <x:c r="K473"/>
      <x:c r="L473"/>
      <x:c r="M473"/>
    </x:row>
    <x:row r="474">
      <x:c r="A474"/>
      <x:c r="B474"/>
      <x:c r="C474"/>
      <x:c r="D474"/>
      <x:c r="E474"/>
      <x:c r="F474"/>
      <x:c r="G474"/>
      <x:c r="H474"/>
      <x:c r="I474"/>
      <x:c r="J474"/>
      <x:c r="K474"/>
      <x:c r="L474"/>
      <x:c r="M474"/>
    </x:row>
    <x:row r="475">
      <x:c r="A475"/>
      <x:c r="B475"/>
      <x:c r="C475"/>
      <x:c r="D475"/>
      <x:c r="E475"/>
      <x:c r="F475"/>
      <x:c r="G475"/>
      <x:c r="H475"/>
      <x:c r="I475"/>
      <x:c r="J475"/>
      <x:c r="K475"/>
      <x:c r="L475"/>
      <x:c r="M475"/>
    </x:row>
    <x:row r="476">
      <x:c r="A476"/>
      <x:c r="B476"/>
      <x:c r="C476"/>
      <x:c r="D476"/>
      <x:c r="E476"/>
      <x:c r="F476"/>
      <x:c r="G476"/>
      <x:c r="H476"/>
      <x:c r="I476"/>
      <x:c r="J476"/>
      <x:c r="K476"/>
      <x:c r="L476"/>
      <x:c r="M476"/>
    </x:row>
    <x:row r="477">
      <x:c r="A477"/>
      <x:c r="B477"/>
      <x:c r="C477"/>
      <x:c r="D477"/>
      <x:c r="E477"/>
      <x:c r="F477"/>
      <x:c r="G477"/>
      <x:c r="H477"/>
      <x:c r="I477"/>
      <x:c r="J477"/>
      <x:c r="K477"/>
      <x:c r="L477"/>
      <x:c r="M477"/>
    </x:row>
    <x:row r="478">
      <x:c r="A478"/>
      <x:c r="B478"/>
      <x:c r="C478"/>
      <x:c r="D478"/>
      <x:c r="E478"/>
      <x:c r="F478"/>
      <x:c r="G478"/>
      <x:c r="H478"/>
      <x:c r="I478"/>
      <x:c r="J478"/>
      <x:c r="K478"/>
      <x:c r="L478"/>
      <x:c r="M478"/>
    </x:row>
    <x:row r="479">
      <x:c r="A479"/>
      <x:c r="B479"/>
      <x:c r="C479"/>
      <x:c r="D479"/>
      <x:c r="E479"/>
      <x:c r="F479"/>
      <x:c r="G479"/>
      <x:c r="H479"/>
      <x:c r="I479"/>
      <x:c r="J479"/>
      <x:c r="K479"/>
      <x:c r="L479"/>
      <x:c r="M479"/>
    </x:row>
    <x:row r="480">
      <x:c r="A480"/>
      <x:c r="B480"/>
      <x:c r="C480"/>
      <x:c r="D480"/>
      <x:c r="E480"/>
      <x:c r="F480"/>
      <x:c r="G480"/>
      <x:c r="H480"/>
      <x:c r="I480"/>
      <x:c r="J480"/>
      <x:c r="K480"/>
      <x:c r="L480"/>
      <x:c r="M480"/>
    </x:row>
    <x:row r="481">
      <x:c r="A481"/>
      <x:c r="B481"/>
      <x:c r="C481"/>
      <x:c r="D481"/>
      <x:c r="E481"/>
      <x:c r="F481"/>
      <x:c r="G481"/>
      <x:c r="H481"/>
      <x:c r="I481"/>
      <x:c r="J481"/>
      <x:c r="K481"/>
      <x:c r="L481"/>
      <x:c r="M481"/>
    </x:row>
    <x:row r="482">
      <x:c r="A482"/>
      <x:c r="B482"/>
      <x:c r="C482"/>
      <x:c r="D482"/>
      <x:c r="E482"/>
      <x:c r="F482"/>
      <x:c r="G482"/>
      <x:c r="H482"/>
      <x:c r="I482"/>
      <x:c r="J482"/>
      <x:c r="K482"/>
      <x:c r="L482"/>
      <x:c r="M482"/>
    </x:row>
    <x:row r="483">
      <x:c r="A483"/>
      <x:c r="B483"/>
      <x:c r="C483"/>
      <x:c r="D483"/>
      <x:c r="E483"/>
      <x:c r="F483"/>
      <x:c r="G483"/>
      <x:c r="H483"/>
      <x:c r="I483"/>
      <x:c r="J483"/>
      <x:c r="K483"/>
      <x:c r="L483"/>
      <x:c r="M483"/>
    </x:row>
    <x:row r="484">
      <x:c r="A484"/>
      <x:c r="B484"/>
      <x:c r="C484"/>
      <x:c r="D484"/>
      <x:c r="E484"/>
      <x:c r="F484"/>
      <x:c r="G484"/>
      <x:c r="H484"/>
      <x:c r="I484"/>
      <x:c r="J484"/>
      <x:c r="K484"/>
      <x:c r="L484"/>
      <x:c r="M484"/>
    </x:row>
    <x:row r="485">
      <x:c r="A485"/>
      <x:c r="B485"/>
      <x:c r="C485"/>
      <x:c r="D485"/>
      <x:c r="E485"/>
      <x:c r="F485"/>
      <x:c r="G485"/>
      <x:c r="H485"/>
      <x:c r="I485"/>
      <x:c r="J485"/>
      <x:c r="K485"/>
      <x:c r="L485"/>
      <x:c r="M485"/>
    </x:row>
    <x:row r="486">
      <x:c r="A486"/>
      <x:c r="B486"/>
      <x:c r="C486"/>
      <x:c r="D486"/>
      <x:c r="E486"/>
      <x:c r="F486"/>
      <x:c r="G486"/>
      <x:c r="H486"/>
      <x:c r="I486"/>
      <x:c r="J486"/>
      <x:c r="K486"/>
      <x:c r="L486"/>
      <x:c r="M486"/>
    </x:row>
    <x:row r="487">
      <x:c r="A487"/>
      <x:c r="B487"/>
      <x:c r="C487"/>
      <x:c r="D487"/>
      <x:c r="E487"/>
      <x:c r="F487"/>
      <x:c r="G487"/>
      <x:c r="H487"/>
      <x:c r="I487"/>
      <x:c r="J487"/>
      <x:c r="K487"/>
      <x:c r="L487"/>
      <x:c r="M487"/>
    </x:row>
    <x:row r="488">
      <x:c r="A488"/>
      <x:c r="B488"/>
      <x:c r="C488"/>
      <x:c r="D488"/>
      <x:c r="E488"/>
      <x:c r="F488"/>
      <x:c r="G488"/>
      <x:c r="H488"/>
      <x:c r="I488"/>
      <x:c r="J488"/>
      <x:c r="K488"/>
      <x:c r="L488"/>
      <x:c r="M488"/>
    </x:row>
    <x:row r="489">
      <x:c r="A489"/>
      <x:c r="B489"/>
      <x:c r="C489"/>
      <x:c r="D489"/>
      <x:c r="E489"/>
      <x:c r="F489"/>
      <x:c r="G489"/>
      <x:c r="H489"/>
      <x:c r="I489"/>
      <x:c r="J489"/>
      <x:c r="K489"/>
      <x:c r="L489"/>
      <x:c r="M489"/>
    </x:row>
    <x:row r="490">
      <x:c r="A490"/>
      <x:c r="B490"/>
      <x:c r="C490"/>
      <x:c r="D490"/>
      <x:c r="E490"/>
      <x:c r="F490"/>
      <x:c r="G490"/>
      <x:c r="H490"/>
      <x:c r="I490"/>
      <x:c r="J490"/>
      <x:c r="K490"/>
      <x:c r="L490"/>
      <x:c r="M490"/>
    </x:row>
    <x:row r="491">
      <x:c r="A491"/>
      <x:c r="B491"/>
      <x:c r="C491"/>
      <x:c r="D491"/>
      <x:c r="E491"/>
      <x:c r="F491"/>
      <x:c r="G491"/>
      <x:c r="H491"/>
      <x:c r="I491"/>
      <x:c r="J491"/>
      <x:c r="K491"/>
      <x:c r="L491"/>
      <x:c r="M491"/>
    </x:row>
    <x:row r="492">
      <x:c r="A492"/>
      <x:c r="B492"/>
      <x:c r="C492"/>
      <x:c r="D492"/>
      <x:c r="E492"/>
      <x:c r="F492"/>
      <x:c r="G492"/>
      <x:c r="H492"/>
      <x:c r="I492"/>
      <x:c r="J492"/>
      <x:c r="K492"/>
      <x:c r="L492"/>
      <x:c r="M492"/>
    </x:row>
    <x:row r="493">
      <x:c r="A493"/>
      <x:c r="B493"/>
      <x:c r="C493"/>
      <x:c r="D493"/>
      <x:c r="E493"/>
      <x:c r="F493"/>
      <x:c r="G493"/>
      <x:c r="H493"/>
      <x:c r="I493"/>
      <x:c r="J493"/>
      <x:c r="K493"/>
      <x:c r="L493"/>
      <x:c r="M493"/>
    </x:row>
    <x:row r="494">
      <x:c r="A494"/>
      <x:c r="B494"/>
      <x:c r="C494"/>
      <x:c r="D494"/>
      <x:c r="E494"/>
      <x:c r="F494"/>
      <x:c r="G494"/>
      <x:c r="H494"/>
      <x:c r="I494"/>
      <x:c r="J494"/>
      <x:c r="K494"/>
      <x:c r="L494"/>
      <x:c r="M494"/>
    </x:row>
    <x:row r="495">
      <x:c r="A495"/>
      <x:c r="B495"/>
      <x:c r="C495"/>
      <x:c r="D495"/>
      <x:c r="E495"/>
      <x:c r="F495"/>
      <x:c r="G495"/>
      <x:c r="H495"/>
      <x:c r="I495"/>
      <x:c r="J495"/>
      <x:c r="K495"/>
      <x:c r="L495"/>
      <x:c r="M495"/>
    </x:row>
    <x:row r="496">
      <x:c r="A496"/>
      <x:c r="B496"/>
      <x:c r="C496"/>
      <x:c r="D496"/>
      <x:c r="E496"/>
      <x:c r="F496"/>
      <x:c r="G496"/>
      <x:c r="H496"/>
      <x:c r="I496"/>
      <x:c r="J496"/>
      <x:c r="K496"/>
      <x:c r="L496"/>
      <x:c r="M496"/>
    </x:row>
    <x:row r="497">
      <x:c r="A497"/>
      <x:c r="B497"/>
      <x:c r="C497"/>
      <x:c r="D497"/>
      <x:c r="E497"/>
      <x:c r="F497"/>
      <x:c r="G497"/>
      <x:c r="H497"/>
      <x:c r="I497"/>
      <x:c r="J497"/>
      <x:c r="K497"/>
      <x:c r="L497"/>
      <x:c r="M497"/>
    </x:row>
    <x:row r="498">
      <x:c r="A498"/>
      <x:c r="B498"/>
      <x:c r="C498"/>
      <x:c r="D498"/>
      <x:c r="E498"/>
      <x:c r="F498"/>
      <x:c r="G498"/>
      <x:c r="H498"/>
      <x:c r="I498"/>
      <x:c r="J498"/>
      <x:c r="K498"/>
      <x:c r="L498"/>
      <x:c r="M498"/>
    </x:row>
    <x:row r="499">
      <x:c r="A499"/>
      <x:c r="B499"/>
      <x:c r="C499"/>
      <x:c r="D499"/>
      <x:c r="E499"/>
      <x:c r="F499"/>
      <x:c r="G499"/>
      <x:c r="H499"/>
      <x:c r="I499"/>
      <x:c r="J499"/>
      <x:c r="K499"/>
      <x:c r="L499"/>
      <x:c r="M499"/>
    </x:row>
    <x:row r="500">
      <x:c r="A500"/>
      <x:c r="B500"/>
      <x:c r="C500"/>
      <x:c r="D500"/>
      <x:c r="E500"/>
      <x:c r="F500"/>
      <x:c r="G500"/>
      <x:c r="H500"/>
      <x:c r="I500"/>
      <x:c r="J500"/>
      <x:c r="K500"/>
      <x:c r="L500"/>
      <x:c r="M500"/>
    </x:row>
    <x:row r="501">
      <x:c r="A501"/>
      <x:c r="B501"/>
      <x:c r="C501"/>
      <x:c r="D501"/>
      <x:c r="E501"/>
      <x:c r="F501"/>
      <x:c r="G501"/>
      <x:c r="H501"/>
      <x:c r="I501"/>
      <x:c r="J501"/>
      <x:c r="K501"/>
      <x:c r="L501"/>
      <x:c r="M501"/>
    </x:row>
    <x:row r="502">
      <x:c r="A502"/>
      <x:c r="B502"/>
      <x:c r="C502"/>
      <x:c r="D502"/>
      <x:c r="E502"/>
      <x:c r="F502"/>
      <x:c r="G502"/>
      <x:c r="H502"/>
      <x:c r="I502"/>
      <x:c r="J502"/>
      <x:c r="K502"/>
      <x:c r="L502"/>
      <x:c r="M502"/>
    </x:row>
  </x:sheetData>
  <x:mergeCells>
    <x:mergeCell ref="A1:P1"/>
  </x:mergeCells>
  <x:conditionalFormatting sqref="G3:G502">
    <x:cfRule type="expression" dxfId="0" priority="1">
      <x:formula>G3="Critical"</x:formula>
    </x:cfRule>
    <x:cfRule type="expression" dxfId="1" priority="2">
      <x:formula>G3="High"</x:formula>
    </x:cfRule>
    <x:cfRule type="expression" dxfId="2" priority="3">
      <x:formula>G3="Medium"</x:formula>
    </x:cfRule>
    <x:cfRule type="expression" dxfId="3" priority="4">
      <x:formula>G3="Low"</x:formula>
    </x:cfRule>
  </x:conditionalFormatting>
  <x:conditionalFormatting sqref="H3:H502">
    <x:cfRule type="expression" dxfId="4" priority="5">
      <x:formula>H3="Open"</x:formula>
    </x:cfRule>
    <x:cfRule type="expression" dxfId="5" priority="6">
      <x:formula>H3="In Progress"</x:formula>
    </x:cfRule>
    <x:cfRule type="expression" dxfId="6" priority="7">
      <x:formula>H3="Resolved"</x:formula>
    </x:cfRule>
    <x:cfRule type="expression" dxfId="7" priority="8">
      <x:formula>H3="Closed"</x:formula>
    </x:cfRule>
  </x:conditionalFormatting>
  <x:conditionalFormatting sqref="G3:G102">
    <x:cfRule type="containsText" dxfId="8" priority="9" operator="containsText" text="Critical"/>
    <x:cfRule type="containsText" dxfId="9" priority="10" operator="containsText" text="High"/>
  </x:conditionalFormatting>
  <x:conditionalFormatting sqref="H3:H102">
    <x:cfRule type="containsText" dxfId="10" priority="11" operator="containsText" text="Open"/>
    <x:cfRule type="containsText" dxfId="11" priority="12" operator="containsText" text="In Progress"/>
  </x:conditionalFormatting>
  <x:conditionalFormatting sqref="P3:P102">
    <x:cfRule type="containsText" dxfId="12" priority="13" operator="containsText" text="Met"/>
    <x:cfRule type="containsText" dxfId="13" priority="14" operator="containsText" text="Missed"/>
  </x:conditionalFormatting>
  <x:dataValidations count="10">
    <x:dataValidation type="list" sqref="D3:D502">
      <x:formula1>Lists!$D$2:$D$7</x:formula1>
    </x:dataValidation>
    <x:dataValidation type="list" sqref="E3:E502">
      <x:formula1>Lists!$C$2:$C$7</x:formula1>
    </x:dataValidation>
    <x:dataValidation type="list" sqref="G3:G502">
      <x:formula1>Lists!$A$2:$A$5</x:formula1>
    </x:dataValidation>
    <x:dataValidation type="list" sqref="H3:H502">
      <x:formula1>Lists!$B$2:$B$5</x:formula1>
    </x:dataValidation>
    <x:dataValidation type="list" sqref="I3:I502">
      <x:formula1>Lists!$E$2:$E$3</x:formula1>
    </x:dataValidation>
    <x:dataValidation type="list" sqref="D3:D102">
      <x:formula1>"Front Desk,Housekeeping,Management,Maintenance,Sales,Guest Services,Finance,Human Resources,Food &amp; Beverage,Events,Security,IT Operations,Reservations"</x:formula1>
    </x:dataValidation>
    <x:dataValidation type="list" sqref="E3:E102">
      <x:formula1>"Hardware,Software,Network,Account Access,Printer,Security,Email,VPN,Audio/Visual,Mobile Device"</x:formula1>
    </x:dataValidation>
    <x:dataValidation type="list" sqref="G3:G102">
      <x:formula1>"Low,Medium,High,Critical"</x:formula1>
    </x:dataValidation>
    <x:dataValidation type="list" sqref="H3:H102">
      <x:formula1>"Open,In Progress,Resolved,Closed"</x:formula1>
    </x:dataValidation>
    <x:dataValidation type="list" sqref="I3:I102">
      <x:formula1>"Andres Camacho,Jordan Lee,Priya Shah,Marcus Brown,Unassigned"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501b858f5244f7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</x:cols>
  <x:sheetData>
    <x:row r="1" ht="24" customHeight="1">
      <x:c r="A1" s="148" t="str">
        <x:v>HELP DESK OPERATIONS DASHBOARD</x:v>
      </x:c>
      <x:c r="B1" s="148"/>
      <x:c r="C1" s="148"/>
      <x:c r="D1" s="148"/>
      <x:c r="E1" s="148"/>
      <x:c r="F1" s="148"/>
      <x:c r="G1" s="148"/>
      <x:c r="H1" s="148"/>
      <x:c r="I1" s="148"/>
      <x:c r="J1" s="148"/>
      <x:c r="K1" s="148"/>
      <x:c r="L1" s="148"/>
      <x:c r="M1" s="148"/>
      <x:c r="N1" s="148"/>
    </x:row>
    <x:row r="2" ht="24" customHeight="1">
      <x:c r="A2" s="148"/>
      <x:c r="B2" s="148"/>
      <x:c r="C2" s="148"/>
      <x:c r="D2" s="148"/>
      <x:c r="E2" s="148"/>
      <x:c r="F2" s="148"/>
      <x:c r="G2" s="148"/>
      <x:c r="H2" s="148"/>
      <x:c r="I2" s="148"/>
      <x:c r="J2" s="148"/>
      <x:c r="K2" s="148"/>
      <x:c r="L2" s="148"/>
      <x:c r="M2" s="148"/>
      <x:c r="N2" s="148"/>
    </x:row>
    <x:row r="3" ht="22" customHeight="1">
      <x:c r="A3" s="172" t="str">
        <x:v>Reporting snapshot: August 11, 2026 | Simulated portfolio data</x:v>
      </x:c>
      <x:c r="B3" s="172"/>
      <x:c r="C3" s="172"/>
      <x:c r="D3" s="172"/>
      <x:c r="E3" s="172"/>
      <x:c r="F3" s="172"/>
      <x:c r="G3" s="172"/>
      <x:c r="H3" s="172"/>
      <x:c r="I3" s="172"/>
      <x:c r="J3" s="172"/>
      <x:c r="K3" s="172"/>
      <x:c r="L3" s="172"/>
      <x:c r="M3" s="172"/>
      <x:c r="N3" s="172"/>
    </x:row>
    <x:row r="4">
      <x:c r="A4"/>
      <x:c r="B4"/>
      <x:c r="D4"/>
      <x:c r="E4"/>
    </x:row>
    <x:row r="5">
      <x:c r="A5" s="181" t="str">
        <x:v>TOTAL TICKETS</x:v>
      </x:c>
      <x:c r="B5" s="182"/>
      <x:c r="C5" s="182"/>
      <x:c r="D5" s="183"/>
      <x:c r="E5"/>
      <x:c r="F5" s="181" t="str">
        <x:v>ACTIVE TICKETS</x:v>
      </x:c>
      <x:c r="G5" s="182"/>
      <x:c r="H5" s="182"/>
      <x:c r="I5" s="183"/>
      <x:c r="K5" s="181" t="str">
        <x:v>RESPONSE SLA MET</x:v>
      </x:c>
      <x:c r="L5" s="182"/>
      <x:c r="M5" s="182"/>
      <x:c r="N5" s="183"/>
    </x:row>
    <x:row r="6">
      <x:c r="A6" s="212" t="n">
        <x:f>COUNTA('Tickets'!$A$3:$A$102)</x:f>
        <x:v>100</x:v>
      </x:c>
      <x:c r="B6" s="213"/>
      <x:c r="C6" s="213"/>
      <x:c r="D6" s="214"/>
      <x:c r="E6"/>
      <x:c r="F6" s="212" t="n">
        <x:f>COUNTIF('Tickets'!$H$3:$H$102,"Open")+COUNTIF('Tickets'!$H$3:$H$102,"In Progress")</x:f>
        <x:v>24</x:v>
      </x:c>
      <x:c r="G6" s="213"/>
      <x:c r="H6" s="213"/>
      <x:c r="I6" s="214"/>
      <x:c r="K6" s="239" t="n">
        <x:f>IFERROR(COUNTIF('Tickets'!$P$3:$P$102,"Met")/COUNTA('Tickets'!$P$3:$P$102),0)</x:f>
        <x:v>0.82</x:v>
      </x:c>
      <x:c r="L6" s="240"/>
      <x:c r="M6" s="240"/>
      <x:c r="N6" s="241"/>
    </x:row>
    <x:row r="7">
      <x:c r="A7" s="215"/>
      <x:c r="B7" s="216"/>
      <x:c r="C7" s="216"/>
      <x:c r="D7" s="217"/>
      <x:c r="E7"/>
      <x:c r="F7" s="215"/>
      <x:c r="G7" s="216"/>
      <x:c r="H7" s="216"/>
      <x:c r="I7" s="217"/>
      <x:c r="K7" s="242"/>
      <x:c r="L7" s="243"/>
      <x:c r="M7" s="243"/>
      <x:c r="N7" s="244"/>
    </x:row>
    <x:row r="8">
      <x:c r="A8" s="218"/>
      <x:c r="B8" s="219"/>
      <x:c r="C8" s="219"/>
      <x:c r="D8" s="220"/>
      <x:c r="F8" s="218"/>
      <x:c r="G8" s="219"/>
      <x:c r="H8" s="219"/>
      <x:c r="I8" s="220"/>
      <x:c r="K8" s="245"/>
      <x:c r="L8" s="246"/>
      <x:c r="M8" s="246"/>
      <x:c r="N8" s="247"/>
    </x:row>
    <x:row r="9">
      <x:c r="A9"/>
      <x:c r="B9"/>
    </x:row>
    <x:row r="10">
      <x:c r="A10" s="181" t="str">
        <x:v>HIGH / CRITICAL</x:v>
      </x:c>
      <x:c r="B10" s="182"/>
      <x:c r="C10" s="182"/>
      <x:c r="D10" s="183"/>
      <x:c r="E10"/>
      <x:c r="F10" s="181" t="str">
        <x:v>AVG RESOLUTION DAYS</x:v>
      </x:c>
      <x:c r="G10" s="182"/>
      <x:c r="H10" s="182"/>
      <x:c r="I10" s="183"/>
      <x:c r="K10" s="181" t="str">
        <x:v>UNASSIGNED TICKETS</x:v>
      </x:c>
      <x:c r="L10" s="182"/>
      <x:c r="M10" s="182"/>
      <x:c r="N10" s="183"/>
    </x:row>
    <x:row r="11">
      <x:c r="A11" s="212" t="n">
        <x:f>COUNTIF('Tickets'!$G$3:$G$102,"High")+COUNTIF('Tickets'!$G$3:$G$102,"Critical")</x:f>
        <x:v>40</x:v>
      </x:c>
      <x:c r="B11" s="213"/>
      <x:c r="C11" s="213"/>
      <x:c r="D11" s="214"/>
      <x:c r="E11"/>
      <x:c r="F11" s="266" t="n">
        <x:f>IFERROR((SUMIF('Tickets'!$H$3:$H$102,"Resolved",'Tickets'!$M$3:$M$102)+SUMIF('Tickets'!$H$3:$H$102,"Closed",'Tickets'!$M$3:$M$102))/(COUNTIF('Tickets'!$H$3:$H$102,"Resolved")+COUNTIF('Tickets'!$H$3:$H$102,"Closed")),0)</x:f>
        <x:v>1.8026315789473684</x:v>
      </x:c>
      <x:c r="G11" s="267"/>
      <x:c r="H11" s="267"/>
      <x:c r="I11" s="268"/>
      <x:c r="K11" s="212" t="n">
        <x:f>COUNTIF('Tickets'!$I$3:$I$102,"Unassigned")</x:f>
        <x:v>3</x:v>
      </x:c>
      <x:c r="L11" s="213"/>
      <x:c r="M11" s="213"/>
      <x:c r="N11" s="214"/>
    </x:row>
    <x:row r="12">
      <x:c r="A12" s="215"/>
      <x:c r="B12" s="216"/>
      <x:c r="C12" s="216"/>
      <x:c r="D12" s="217"/>
      <x:c r="E12"/>
      <x:c r="F12" s="269"/>
      <x:c r="G12" s="270"/>
      <x:c r="H12" s="270"/>
      <x:c r="I12" s="271"/>
      <x:c r="K12" s="215"/>
      <x:c r="L12" s="216"/>
      <x:c r="M12" s="216"/>
      <x:c r="N12" s="217"/>
    </x:row>
    <x:row r="13">
      <x:c r="A13" s="218"/>
      <x:c r="B13" s="219"/>
      <x:c r="C13" s="219"/>
      <x:c r="D13" s="220"/>
      <x:c r="E13"/>
      <x:c r="F13" s="272"/>
      <x:c r="G13" s="273"/>
      <x:c r="H13" s="273"/>
      <x:c r="I13" s="274"/>
      <x:c r="K13" s="218"/>
      <x:c r="L13" s="219"/>
      <x:c r="M13" s="219"/>
      <x:c r="N13" s="220"/>
    </x:row>
    <x:row r="14">
      <x:c r="A14"/>
      <x:c r="B14"/>
      <x:c r="D14"/>
      <x:c r="E14"/>
    </x:row>
    <x:row r="15">
      <x:c r="A15"/>
      <x:c r="B15"/>
    </x:row>
    <x:row r="16">
      <x:c r="A16"/>
      <x:c r="B16"/>
    </x:row>
    <x:row r="17">
      <x:c r="A17"/>
      <x:c r="B17"/>
    </x:row>
    <x:row r="48" ht="30" customHeight="1">
      <x:c r="A48" s="277" t="str">
        <x:v>Portfolio project: incident tracking, SLA monitoring, troubleshooting documentation, reporting, and knowledge management.</x:v>
      </x:c>
      <x:c r="B48" s="277"/>
      <x:c r="C48" s="277"/>
      <x:c r="D48" s="277"/>
      <x:c r="E48" s="277"/>
      <x:c r="F48" s="277"/>
      <x:c r="G48" s="277"/>
      <x:c r="H48" s="277"/>
      <x:c r="I48" s="277"/>
      <x:c r="J48" s="277"/>
      <x:c r="K48" s="277"/>
      <x:c r="L48" s="277"/>
      <x:c r="M48" s="277"/>
      <x:c r="N48" s="277"/>
    </x:row>
  </x:sheetData>
  <x:mergeCells>
    <x:mergeCell ref="A1:N2"/>
    <x:mergeCell ref="A3:N3"/>
    <x:mergeCell ref="A5:D5"/>
    <x:mergeCell ref="A6:D8"/>
    <x:mergeCell ref="F5:I5"/>
    <x:mergeCell ref="F6:I8"/>
    <x:mergeCell ref="K5:N5"/>
    <x:mergeCell ref="K6:N8"/>
    <x:mergeCell ref="A10:D10"/>
    <x:mergeCell ref="A11:D13"/>
    <x:mergeCell ref="F10:I10"/>
    <x:mergeCell ref="F11:I13"/>
    <x:mergeCell ref="K10:N10"/>
    <x:mergeCell ref="K11:N13"/>
    <x:mergeCell ref="A48:N48"/>
  </x:mergeCells>
  <x:pageMargins left="0.7" right="0.7" top="0.75" bottom="0.75" header="0.3" footer="0.3"/>
  <x:drawing xmlns:r="http://schemas.openxmlformats.org/officeDocument/2006/relationships" r:id="R44fb3a5c65e44559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0" hidden="0" customWidth="1"/>
    <x:col min="3" max="3" width="20" hidden="0" customWidth="1"/>
    <x:col min="4" max="4" width="23" hidden="0" customWidth="1"/>
    <x:col min="5" max="5" width="15" hidden="0" customWidth="1"/>
    <x:col min="6" max="6" width="22" hidden="0" customWidth="1"/>
  </x:cols>
  <x:sheetData>
    <x:row r="1">
      <x:c r="A1" s="149" t="str">
        <x:v>USER AND DEVICE DIRECTORY</x:v>
      </x:c>
      <x:c r="B1" s="149"/>
      <x:c r="C1" s="149"/>
      <x:c r="D1" s="149"/>
      <x:c r="E1" s="149"/>
      <x:c r="F1" s="149"/>
    </x:row>
    <x:row r="2" ht="28" customHeight="1">
      <x:c r="A2" t="str">
        <x:v>User ID</x:v>
      </x:c>
      <x:c r="B2" t="str">
        <x:v>Name</x:v>
      </x:c>
      <x:c r="C2" t="str">
        <x:v>Department</x:v>
      </x:c>
      <x:c r="D2" t="str">
        <x:v>Device</x:v>
      </x:c>
      <x:c r="E2" t="str">
        <x:v>Asset Tag</x:v>
      </x:c>
      <x:c r="F2" t="str">
        <x:v>Primary Location</x:v>
      </x:c>
    </x:row>
    <x:row r="3" ht="22" customHeight="1">
      <x:c r="A3" t="str">
        <x:v>USR-001</x:v>
      </x:c>
      <x:c r="B3" t="str">
        <x:v>Maria Lopez</x:v>
      </x:c>
      <x:c r="C3" t="str">
        <x:v>Front Desk</x:v>
      </x:c>
      <x:c r="D3" t="str">
        <x:v>Dell Latitude 5440</x:v>
      </x:c>
      <x:c r="E3" t="str">
        <x:v>CORP-LT-201</x:v>
      </x:c>
      <x:c r="F3" t="str">
        <x:v>Main Lobby</x:v>
      </x:c>
    </x:row>
    <x:row r="4" ht="22" customHeight="1">
      <x:c r="A4" t="str">
        <x:v>USR-002</x:v>
      </x:c>
      <x:c r="B4" t="str">
        <x:v>James Carter</x:v>
      </x:c>
      <x:c r="C4" t="str">
        <x:v>Housekeeping</x:v>
      </x:c>
      <x:c r="D4" t="str">
        <x:v>HP EliteBook 840</x:v>
      </x:c>
      <x:c r="E4" t="str">
        <x:v>CORP-LT-202</x:v>
      </x:c>
      <x:c r="F4" t="str">
        <x:v>Housekeeping Office</x:v>
      </x:c>
    </x:row>
    <x:row r="5" ht="22" customHeight="1">
      <x:c r="A5" t="str">
        <x:v>USR-003</x:v>
      </x:c>
      <x:c r="B5" t="str">
        <x:v>Tanya Reed</x:v>
      </x:c>
      <x:c r="C5" t="str">
        <x:v>Management</x:v>
      </x:c>
      <x:c r="D5" t="str">
        <x:v>Lenovo ThinkPad E14</x:v>
      </x:c>
      <x:c r="E5" t="str">
        <x:v>CORP-LT-203</x:v>
      </x:c>
      <x:c r="F5" t="str">
        <x:v>Executive Office</x:v>
      </x:c>
    </x:row>
    <x:row r="6" ht="22" customHeight="1">
      <x:c r="A6" t="str">
        <x:v>USR-004</x:v>
      </x:c>
      <x:c r="B6" t="str">
        <x:v>Eric Wilson</x:v>
      </x:c>
      <x:c r="C6" t="str">
        <x:v>Maintenance</x:v>
      </x:c>
      <x:c r="D6" t="str">
        <x:v>Dell OptiPlex 7010</x:v>
      </x:c>
      <x:c r="E6" t="str">
        <x:v>CORP-DT-204</x:v>
      </x:c>
      <x:c r="F6" t="str">
        <x:v>Maintenance Office</x:v>
      </x:c>
    </x:row>
    <x:row r="7" ht="22" customHeight="1">
      <x:c r="A7" t="str">
        <x:v>USR-005</x:v>
      </x:c>
      <x:c r="B7" t="str">
        <x:v>Nina Patel</x:v>
      </x:c>
      <x:c r="C7" t="str">
        <x:v>Sales</x:v>
      </x:c>
      <x:c r="D7" t="str">
        <x:v>HP ProBook 450</x:v>
      </x:c>
      <x:c r="E7" t="str">
        <x:v>CORP-LT-205</x:v>
      </x:c>
      <x:c r="F7" t="str">
        <x:v>Sales Office</x:v>
      </x:c>
    </x:row>
    <x:row r="8" ht="22" customHeight="1">
      <x:c r="A8" t="str">
        <x:v>USR-006</x:v>
      </x:c>
      <x:c r="B8" t="str">
        <x:v>David Kim</x:v>
      </x:c>
      <x:c r="C8" t="str">
        <x:v>Guest Services</x:v>
      </x:c>
      <x:c r="D8" t="str">
        <x:v>Lenovo ThinkPad L14</x:v>
      </x:c>
      <x:c r="E8" t="str">
        <x:v>CORP-LT-206</x:v>
      </x:c>
      <x:c r="F8" t="str">
        <x:v>Guest Services Desk</x:v>
      </x:c>
    </x:row>
    <x:row r="9" ht="22" customHeight="1">
      <x:c r="A9" t="str">
        <x:v>USR-007</x:v>
      </x:c>
      <x:c r="B9" t="str">
        <x:v>Olivia Martin</x:v>
      </x:c>
      <x:c r="C9" t="str">
        <x:v>Finance</x:v>
      </x:c>
      <x:c r="D9" t="str">
        <x:v>Dell Latitude 5440</x:v>
      </x:c>
      <x:c r="E9" t="str">
        <x:v>CORP-LT-207</x:v>
      </x:c>
      <x:c r="F9" t="str">
        <x:v>Finance Office</x:v>
      </x:c>
    </x:row>
    <x:row r="10" ht="22" customHeight="1">
      <x:c r="A10" t="str">
        <x:v>USR-008</x:v>
      </x:c>
      <x:c r="B10" t="str">
        <x:v>Noah Thompson</x:v>
      </x:c>
      <x:c r="C10" t="str">
        <x:v>Human Resources</x:v>
      </x:c>
      <x:c r="D10" t="str">
        <x:v>HP EliteBook 840</x:v>
      </x:c>
      <x:c r="E10" t="str">
        <x:v>CORP-DT-208</x:v>
      </x:c>
      <x:c r="F10" t="str">
        <x:v>HR Office</x:v>
      </x:c>
    </x:row>
    <x:row r="11" ht="22" customHeight="1">
      <x:c r="A11" t="str">
        <x:v>USR-009</x:v>
      </x:c>
      <x:c r="B11" t="str">
        <x:v>Sophia Ramirez</x:v>
      </x:c>
      <x:c r="C11" t="str">
        <x:v>Food &amp; Beverage</x:v>
      </x:c>
      <x:c r="D11" t="str">
        <x:v>Lenovo ThinkPad E14</x:v>
      </x:c>
      <x:c r="E11" t="str">
        <x:v>CORP-LT-209</x:v>
      </x:c>
      <x:c r="F11" t="str">
        <x:v>Restaurant Office</x:v>
      </x:c>
    </x:row>
    <x:row r="12" ht="22" customHeight="1">
      <x:c r="A12" t="str">
        <x:v>USR-010</x:v>
      </x:c>
      <x:c r="B12" t="str">
        <x:v>Liam Johnson</x:v>
      </x:c>
      <x:c r="C12" t="str">
        <x:v>Events</x:v>
      </x:c>
      <x:c r="D12" t="str">
        <x:v>Dell OptiPlex 7010</x:v>
      </x:c>
      <x:c r="E12" t="str">
        <x:v>CORP-LT-210</x:v>
      </x:c>
      <x:c r="F12" t="str">
        <x:v>Ballroom Office</x:v>
      </x:c>
    </x:row>
    <x:row r="13" ht="22" customHeight="1">
      <x:c r="A13" t="str">
        <x:v>USR-011</x:v>
      </x:c>
      <x:c r="B13" t="str">
        <x:v>Ava Davis</x:v>
      </x:c>
      <x:c r="C13" t="str">
        <x:v>Security</x:v>
      </x:c>
      <x:c r="D13" t="str">
        <x:v>HP ProBook 450</x:v>
      </x:c>
      <x:c r="E13" t="str">
        <x:v>CORP-LT-211</x:v>
      </x:c>
      <x:c r="F13" t="str">
        <x:v>Security Desk</x:v>
      </x:c>
    </x:row>
    <x:row r="14" ht="22" customHeight="1">
      <x:c r="A14" t="str">
        <x:v>USR-012</x:v>
      </x:c>
      <x:c r="B14" t="str">
        <x:v>Ethan Brown</x:v>
      </x:c>
      <x:c r="C14" t="str">
        <x:v>IT Operations</x:v>
      </x:c>
      <x:c r="D14" t="str">
        <x:v>Lenovo ThinkPad L14</x:v>
      </x:c>
      <x:c r="E14" t="str">
        <x:v>CORP-DT-212</x:v>
      </x:c>
      <x:c r="F14" t="str">
        <x:v>IT Workroom</x:v>
      </x:c>
    </x:row>
    <x:row r="15" ht="22" customHeight="1">
      <x:c r="A15" t="str">
        <x:v>USR-013</x:v>
      </x:c>
      <x:c r="B15" t="str">
        <x:v>Isabella Moore</x:v>
      </x:c>
      <x:c r="C15" t="str">
        <x:v>Reservations</x:v>
      </x:c>
      <x:c r="D15" t="str">
        <x:v>Dell Latitude 5440</x:v>
      </x:c>
      <x:c r="E15" t="str">
        <x:v>CORP-LT-213</x:v>
      </x:c>
      <x:c r="F15" t="str">
        <x:v>Reservations Office</x:v>
      </x:c>
    </x:row>
    <x:row r="16" ht="22" customHeight="1">
      <x:c r="A16" t="str">
        <x:v>USR-014</x:v>
      </x:c>
      <x:c r="B16" t="str">
        <x:v>Mason Clark</x:v>
      </x:c>
      <x:c r="C16" t="str">
        <x:v>Front Desk</x:v>
      </x:c>
      <x:c r="D16" t="str">
        <x:v>HP EliteBook 840</x:v>
      </x:c>
      <x:c r="E16" t="str">
        <x:v>CORP-LT-214</x:v>
      </x:c>
      <x:c r="F16" t="str">
        <x:v>Main Lobby</x:v>
      </x:c>
    </x:row>
    <x:row r="17" ht="22" customHeight="1">
      <x:c r="A17" t="str">
        <x:v>USR-015</x:v>
      </x:c>
      <x:c r="B17" t="str">
        <x:v>Mia Hall</x:v>
      </x:c>
      <x:c r="C17" t="str">
        <x:v>Housekeeping</x:v>
      </x:c>
      <x:c r="D17" t="str">
        <x:v>Lenovo ThinkPad E14</x:v>
      </x:c>
      <x:c r="E17" t="str">
        <x:v>CORP-LT-215</x:v>
      </x:c>
      <x:c r="F17" t="str">
        <x:v>Housekeeping Office</x:v>
      </x:c>
    </x:row>
    <x:row r="18" ht="22" customHeight="1">
      <x:c r="A18" t="str">
        <x:v>USR-016</x:v>
      </x:c>
      <x:c r="B18" t="str">
        <x:v>Lucas Allen</x:v>
      </x:c>
      <x:c r="C18" t="str">
        <x:v>Management</x:v>
      </x:c>
      <x:c r="D18" t="str">
        <x:v>Dell OptiPlex 7010</x:v>
      </x:c>
      <x:c r="E18" t="str">
        <x:v>CORP-DT-216</x:v>
      </x:c>
      <x:c r="F18" t="str">
        <x:v>Executive Office</x:v>
      </x:c>
    </x:row>
    <x:row r="19" ht="22" customHeight="1">
      <x:c r="A19" t="str">
        <x:v>USR-017</x:v>
      </x:c>
      <x:c r="B19" t="str">
        <x:v>Amelia Young</x:v>
      </x:c>
      <x:c r="C19" t="str">
        <x:v>Maintenance</x:v>
      </x:c>
      <x:c r="D19" t="str">
        <x:v>HP ProBook 450</x:v>
      </x:c>
      <x:c r="E19" t="str">
        <x:v>CORP-LT-217</x:v>
      </x:c>
      <x:c r="F19" t="str">
        <x:v>Maintenance Office</x:v>
      </x:c>
    </x:row>
    <x:row r="20" ht="22" customHeight="1">
      <x:c r="A20" t="str">
        <x:v>USR-018</x:v>
      </x:c>
      <x:c r="B20" t="str">
        <x:v>Logan Hernandez</x:v>
      </x:c>
      <x:c r="C20" t="str">
        <x:v>Sales</x:v>
      </x:c>
      <x:c r="D20" t="str">
        <x:v>Lenovo ThinkPad L14</x:v>
      </x:c>
      <x:c r="E20" t="str">
        <x:v>CORP-LT-218</x:v>
      </x:c>
      <x:c r="F20" t="str">
        <x:v>Sales Office</x:v>
      </x:c>
    </x:row>
    <x:row r="21" ht="22" customHeight="1">
      <x:c r="A21" t="str">
        <x:v>USR-019</x:v>
      </x:c>
      <x:c r="B21" t="str">
        <x:v>Harper King</x:v>
      </x:c>
      <x:c r="C21" t="str">
        <x:v>Guest Services</x:v>
      </x:c>
      <x:c r="D21" t="str">
        <x:v>Dell Latitude 5440</x:v>
      </x:c>
      <x:c r="E21" t="str">
        <x:v>CORP-LT-219</x:v>
      </x:c>
      <x:c r="F21" t="str">
        <x:v>Guest Services Desk</x:v>
      </x:c>
    </x:row>
    <x:row r="22" ht="22" customHeight="1">
      <x:c r="A22" t="str">
        <x:v>USR-020</x:v>
      </x:c>
      <x:c r="B22" t="str">
        <x:v>Elijah Wright</x:v>
      </x:c>
      <x:c r="C22" t="str">
        <x:v>Finance</x:v>
      </x:c>
      <x:c r="D22" t="str">
        <x:v>HP EliteBook 840</x:v>
      </x:c>
      <x:c r="E22" t="str">
        <x:v>CORP-DT-220</x:v>
      </x:c>
      <x:c r="F22" t="str">
        <x:v>Finance Office</x:v>
      </x:c>
    </x:row>
    <x:row r="23" ht="22" customHeight="1">
      <x:c r="A23" t="str">
        <x:v>USR-021</x:v>
      </x:c>
      <x:c r="B23" t="str">
        <x:v>Evelyn Scott</x:v>
      </x:c>
      <x:c r="C23" t="str">
        <x:v>Human Resources</x:v>
      </x:c>
      <x:c r="D23" t="str">
        <x:v>Lenovo ThinkPad E14</x:v>
      </x:c>
      <x:c r="E23" t="str">
        <x:v>CORP-LT-221</x:v>
      </x:c>
      <x:c r="F23" t="str">
        <x:v>HR Office</x:v>
      </x:c>
    </x:row>
    <x:row r="24" ht="22" customHeight="1">
      <x:c r="A24" t="str">
        <x:v>USR-022</x:v>
      </x:c>
      <x:c r="B24" t="str">
        <x:v>Mateo Green</x:v>
      </x:c>
      <x:c r="C24" t="str">
        <x:v>Food &amp; Beverage</x:v>
      </x:c>
      <x:c r="D24" t="str">
        <x:v>Dell OptiPlex 7010</x:v>
      </x:c>
      <x:c r="E24" t="str">
        <x:v>CORP-LT-222</x:v>
      </x:c>
      <x:c r="F24" t="str">
        <x:v>Restaurant Office</x:v>
      </x:c>
    </x:row>
    <x:row r="25" ht="22" customHeight="1">
      <x:c r="A25" t="str">
        <x:v>USR-023</x:v>
      </x:c>
      <x:c r="B25" t="str">
        <x:v>Camila Baker</x:v>
      </x:c>
      <x:c r="C25" t="str">
        <x:v>Events</x:v>
      </x:c>
      <x:c r="D25" t="str">
        <x:v>HP ProBook 450</x:v>
      </x:c>
      <x:c r="E25" t="str">
        <x:v>CORP-LT-223</x:v>
      </x:c>
      <x:c r="F25" t="str">
        <x:v>Ballroom Office</x:v>
      </x:c>
    </x:row>
    <x:row r="26" ht="22" customHeight="1">
      <x:c r="A26" t="str">
        <x:v>USR-024</x:v>
      </x:c>
      <x:c r="B26" t="str">
        <x:v>Henry Adams</x:v>
      </x:c>
      <x:c r="C26" t="str">
        <x:v>Security</x:v>
      </x:c>
      <x:c r="D26" t="str">
        <x:v>Lenovo ThinkPad L14</x:v>
      </x:c>
      <x:c r="E26" t="str">
        <x:v>CORP-DT-224</x:v>
      </x:c>
      <x:c r="F26" t="str">
        <x:v>Security Desk</x:v>
      </x:c>
    </x:row>
    <x:row r="27" ht="22" customHeight="1">
      <x:c r="A27" t="str">
        <x:v>USR-025</x:v>
      </x:c>
      <x:c r="B27" t="str">
        <x:v>Luna Nelson</x:v>
      </x:c>
      <x:c r="C27" t="str">
        <x:v>IT Operations</x:v>
      </x:c>
      <x:c r="D27" t="str">
        <x:v>Dell Latitude 5440</x:v>
      </x:c>
      <x:c r="E27" t="str">
        <x:v>CORP-LT-225</x:v>
      </x:c>
      <x:c r="F27" t="str">
        <x:v>IT Workroom</x:v>
      </x:c>
    </x:row>
    <x:row r="28" ht="22" customHeight="1">
      <x:c r="A28" t="str">
        <x:v>USR-026</x:v>
      </x:c>
      <x:c r="B28" t="str">
        <x:v>Sebastian Hill</x:v>
      </x:c>
      <x:c r="C28" t="str">
        <x:v>Reservations</x:v>
      </x:c>
      <x:c r="D28" t="str">
        <x:v>HP EliteBook 840</x:v>
      </x:c>
      <x:c r="E28" t="str">
        <x:v>CORP-LT-226</x:v>
      </x:c>
      <x:c r="F28" t="str">
        <x:v>Reservations Office</x:v>
      </x:c>
    </x:row>
    <x:row r="29" ht="22" customHeight="1">
      <x:c r="A29" t="str">
        <x:v>USR-027</x:v>
      </x:c>
      <x:c r="B29" t="str">
        <x:v>Sofia Campbell</x:v>
      </x:c>
      <x:c r="C29" t="str">
        <x:v>Front Desk</x:v>
      </x:c>
      <x:c r="D29" t="str">
        <x:v>Lenovo ThinkPad E14</x:v>
      </x:c>
      <x:c r="E29" t="str">
        <x:v>CORP-LT-227</x:v>
      </x:c>
      <x:c r="F29" t="str">
        <x:v>Main Lobby</x:v>
      </x:c>
    </x:row>
    <x:row r="30" ht="22" customHeight="1">
      <x:c r="A30" t="str">
        <x:v>USR-028</x:v>
      </x:c>
      <x:c r="B30" t="str">
        <x:v>Jack Mitchell</x:v>
      </x:c>
      <x:c r="C30" t="str">
        <x:v>Housekeeping</x:v>
      </x:c>
      <x:c r="D30" t="str">
        <x:v>Dell OptiPlex 7010</x:v>
      </x:c>
      <x:c r="E30" t="str">
        <x:v>CORP-DT-228</x:v>
      </x:c>
      <x:c r="F30" t="str">
        <x:v>Housekeeping Office</x:v>
      </x:c>
    </x:row>
    <x:row r="31" ht="22" customHeight="1">
      <x:c r="A31" t="str">
        <x:v>USR-029</x:v>
      </x:c>
      <x:c r="B31" t="str">
        <x:v>Aria Roberts</x:v>
      </x:c>
      <x:c r="C31" t="str">
        <x:v>Management</x:v>
      </x:c>
      <x:c r="D31" t="str">
        <x:v>HP ProBook 450</x:v>
      </x:c>
      <x:c r="E31" t="str">
        <x:v>CORP-LT-229</x:v>
      </x:c>
      <x:c r="F31" t="str">
        <x:v>Executive Office</x:v>
      </x:c>
    </x:row>
    <x:row r="32" ht="22" customHeight="1">
      <x:c r="A32" t="str">
        <x:v>USR-030</x:v>
      </x:c>
      <x:c r="B32" t="str">
        <x:v>Daniel Turner</x:v>
      </x:c>
      <x:c r="C32" t="str">
        <x:v>Maintenance</x:v>
      </x:c>
      <x:c r="D32" t="str">
        <x:v>Lenovo ThinkPad L14</x:v>
      </x:c>
      <x:c r="E32" t="str">
        <x:v>CORP-LT-230</x:v>
      </x:c>
      <x:c r="F32" t="str">
        <x:v>Maintenance Office</x:v>
      </x:c>
    </x:row>
    <x:row r="33">
      <x:c r="A33"/>
      <x:c r="B33"/>
      <x:c r="C33"/>
      <x:c r="D33"/>
      <x:c r="E33"/>
      <x:c r="F33"/>
    </x:row>
    <x:row r="34">
      <x:c r="A34"/>
      <x:c r="B34"/>
      <x:c r="C34"/>
      <x:c r="D34"/>
      <x:c r="E34"/>
      <x:c r="F34"/>
    </x:row>
    <x:row r="35">
      <x:c r="A35"/>
      <x:c r="B35"/>
      <x:c r="C35"/>
      <x:c r="D35"/>
      <x:c r="E35"/>
      <x:c r="F35"/>
    </x:row>
    <x:row r="36">
      <x:c r="A36"/>
      <x:c r="B36"/>
      <x:c r="C36"/>
      <x:c r="D36"/>
      <x:c r="E36"/>
      <x:c r="F36"/>
    </x:row>
    <x:row r="37">
      <x:c r="A37"/>
      <x:c r="B37"/>
      <x:c r="C37"/>
      <x:c r="D37"/>
      <x:c r="E37"/>
      <x:c r="F37"/>
    </x:row>
    <x:row r="38">
      <x:c r="A38"/>
      <x:c r="B38"/>
      <x:c r="C38"/>
      <x:c r="D38"/>
      <x:c r="E38"/>
      <x:c r="F38"/>
    </x:row>
    <x:row r="39">
      <x:c r="A39"/>
      <x:c r="B39"/>
      <x:c r="C39"/>
      <x:c r="D39"/>
      <x:c r="E39"/>
      <x:c r="F39"/>
    </x:row>
    <x:row r="40">
      <x:c r="A40"/>
      <x:c r="B40"/>
      <x:c r="C40"/>
      <x:c r="D40"/>
      <x:c r="E40"/>
      <x:c r="F40"/>
    </x:row>
    <x:row r="41">
      <x:c r="A41"/>
      <x:c r="B41"/>
      <x:c r="C41"/>
      <x:c r="D41"/>
      <x:c r="E41"/>
      <x:c r="F41"/>
    </x:row>
    <x:row r="42">
      <x:c r="A42"/>
      <x:c r="B42"/>
      <x:c r="C42"/>
      <x:c r="D42"/>
      <x:c r="E42"/>
      <x:c r="F42"/>
    </x:row>
    <x:row r="43">
      <x:c r="A43"/>
      <x:c r="B43"/>
      <x:c r="C43"/>
      <x:c r="D43"/>
      <x:c r="E43"/>
      <x:c r="F43"/>
    </x:row>
    <x:row r="44">
      <x:c r="A44"/>
      <x:c r="B44"/>
      <x:c r="C44"/>
      <x:c r="D44"/>
      <x:c r="E44"/>
      <x:c r="F44"/>
    </x:row>
    <x:row r="45">
      <x:c r="A45"/>
      <x:c r="B45"/>
      <x:c r="C45"/>
      <x:c r="D45"/>
      <x:c r="E45"/>
      <x:c r="F45"/>
    </x:row>
    <x:row r="46">
      <x:c r="A46"/>
      <x:c r="B46"/>
      <x:c r="C46"/>
      <x:c r="D46"/>
      <x:c r="E46"/>
      <x:c r="F46"/>
    </x:row>
    <x:row r="47">
      <x:c r="A47"/>
      <x:c r="B47"/>
      <x:c r="C47"/>
      <x:c r="D47"/>
      <x:c r="E47"/>
      <x:c r="F47"/>
    </x:row>
    <x:row r="48">
      <x:c r="A48"/>
      <x:c r="B48"/>
      <x:c r="C48"/>
      <x:c r="D48"/>
      <x:c r="E48"/>
      <x:c r="F48"/>
    </x:row>
    <x:row r="49">
      <x:c r="A49"/>
      <x:c r="B49"/>
      <x:c r="C49"/>
      <x:c r="D49"/>
      <x:c r="E49"/>
      <x:c r="F49"/>
    </x:row>
    <x:row r="50">
      <x:c r="A50"/>
      <x:c r="B50"/>
      <x:c r="C50"/>
      <x:c r="D50"/>
      <x:c r="E50"/>
      <x:c r="F50"/>
    </x:row>
    <x:row r="51">
      <x:c r="A51"/>
      <x:c r="B51"/>
      <x:c r="C51"/>
      <x:c r="D51"/>
      <x:c r="E51"/>
      <x:c r="F51"/>
    </x:row>
    <x:row r="52">
      <x:c r="A52"/>
      <x:c r="B52"/>
      <x:c r="C52"/>
      <x:c r="D52"/>
      <x:c r="E52"/>
      <x:c r="F52"/>
    </x:row>
    <x:row r="53">
      <x:c r="A53"/>
      <x:c r="B53"/>
      <x:c r="C53"/>
      <x:c r="D53"/>
      <x:c r="E53"/>
      <x:c r="F53"/>
    </x:row>
    <x:row r="54">
      <x:c r="A54"/>
      <x:c r="B54"/>
      <x:c r="C54"/>
      <x:c r="D54"/>
      <x:c r="E54"/>
      <x:c r="F54"/>
    </x:row>
    <x:row r="55">
      <x:c r="A55"/>
      <x:c r="B55"/>
      <x:c r="C55"/>
      <x:c r="D55"/>
      <x:c r="E55"/>
      <x:c r="F55"/>
    </x:row>
    <x:row r="56">
      <x:c r="A56"/>
      <x:c r="B56"/>
      <x:c r="C56"/>
      <x:c r="D56"/>
      <x:c r="E56"/>
      <x:c r="F56"/>
    </x:row>
    <x:row r="57">
      <x:c r="A57"/>
      <x:c r="B57"/>
      <x:c r="C57"/>
      <x:c r="D57"/>
      <x:c r="E57"/>
      <x:c r="F57"/>
    </x:row>
    <x:row r="58">
      <x:c r="A58"/>
      <x:c r="B58"/>
      <x:c r="C58"/>
      <x:c r="D58"/>
      <x:c r="E58"/>
      <x:c r="F58"/>
    </x:row>
    <x:row r="59">
      <x:c r="A59"/>
      <x:c r="B59"/>
      <x:c r="C59"/>
      <x:c r="D59"/>
      <x:c r="E59"/>
      <x:c r="F59"/>
    </x:row>
    <x:row r="60">
      <x:c r="A60"/>
      <x:c r="B60"/>
      <x:c r="C60"/>
      <x:c r="D60"/>
      <x:c r="E60"/>
      <x:c r="F60"/>
    </x:row>
    <x:row r="61">
      <x:c r="A61"/>
      <x:c r="B61"/>
      <x:c r="C61"/>
      <x:c r="D61"/>
      <x:c r="E61"/>
      <x:c r="F61"/>
    </x:row>
    <x:row r="62">
      <x:c r="A62"/>
      <x:c r="B62"/>
      <x:c r="C62"/>
      <x:c r="D62"/>
      <x:c r="E62"/>
      <x:c r="F62"/>
    </x:row>
    <x:row r="63">
      <x:c r="A63"/>
      <x:c r="B63"/>
      <x:c r="C63"/>
      <x:c r="D63"/>
      <x:c r="E63"/>
      <x:c r="F63"/>
    </x:row>
    <x:row r="64">
      <x:c r="A64"/>
      <x:c r="B64"/>
      <x:c r="C64"/>
      <x:c r="D64"/>
      <x:c r="E64"/>
      <x:c r="F64"/>
    </x:row>
    <x:row r="65">
      <x:c r="A65"/>
      <x:c r="B65"/>
      <x:c r="C65"/>
      <x:c r="D65"/>
      <x:c r="E65"/>
      <x:c r="F65"/>
    </x:row>
    <x:row r="66">
      <x:c r="A66"/>
      <x:c r="B66"/>
      <x:c r="C66"/>
      <x:c r="D66"/>
      <x:c r="E66"/>
      <x:c r="F66"/>
    </x:row>
    <x:row r="67">
      <x:c r="A67"/>
      <x:c r="B67"/>
      <x:c r="C67"/>
      <x:c r="D67"/>
      <x:c r="E67"/>
      <x:c r="F67"/>
    </x:row>
    <x:row r="68">
      <x:c r="A68"/>
      <x:c r="B68"/>
      <x:c r="C68"/>
      <x:c r="D68"/>
      <x:c r="E68"/>
      <x:c r="F68"/>
    </x:row>
    <x:row r="69">
      <x:c r="A69"/>
      <x:c r="B69"/>
      <x:c r="C69"/>
      <x:c r="D69"/>
      <x:c r="E69"/>
      <x:c r="F69"/>
    </x:row>
    <x:row r="70">
      <x:c r="A70"/>
      <x:c r="B70"/>
      <x:c r="C70"/>
      <x:c r="D70"/>
      <x:c r="E70"/>
      <x:c r="F70"/>
    </x:row>
    <x:row r="71">
      <x:c r="A71"/>
      <x:c r="B71"/>
      <x:c r="C71"/>
      <x:c r="D71"/>
      <x:c r="E71"/>
      <x:c r="F71"/>
    </x:row>
    <x:row r="72">
      <x:c r="A72"/>
      <x:c r="B72"/>
      <x:c r="C72"/>
      <x:c r="D72"/>
      <x:c r="E72"/>
      <x:c r="F72"/>
    </x:row>
    <x:row r="73">
      <x:c r="A73"/>
      <x:c r="B73"/>
      <x:c r="C73"/>
      <x:c r="D73"/>
      <x:c r="E73"/>
      <x:c r="F73"/>
    </x:row>
    <x:row r="74">
      <x:c r="A74"/>
      <x:c r="B74"/>
      <x:c r="C74"/>
      <x:c r="D74"/>
      <x:c r="E74"/>
      <x:c r="F74"/>
    </x:row>
    <x:row r="75">
      <x:c r="A75"/>
      <x:c r="B75"/>
      <x:c r="C75"/>
      <x:c r="D75"/>
      <x:c r="E75"/>
      <x:c r="F75"/>
    </x:row>
    <x:row r="76">
      <x:c r="A76"/>
      <x:c r="B76"/>
      <x:c r="C76"/>
      <x:c r="D76"/>
      <x:c r="E76"/>
      <x:c r="F76"/>
    </x:row>
    <x:row r="77">
      <x:c r="A77"/>
      <x:c r="B77"/>
      <x:c r="C77"/>
      <x:c r="D77"/>
      <x:c r="E77"/>
      <x:c r="F77"/>
    </x:row>
    <x:row r="78">
      <x:c r="A78"/>
      <x:c r="B78"/>
      <x:c r="C78"/>
      <x:c r="D78"/>
      <x:c r="E78"/>
      <x:c r="F78"/>
    </x:row>
    <x:row r="79">
      <x:c r="A79"/>
      <x:c r="B79"/>
      <x:c r="C79"/>
      <x:c r="D79"/>
      <x:c r="E79"/>
      <x:c r="F79"/>
    </x:row>
    <x:row r="80">
      <x:c r="A80"/>
      <x:c r="B80"/>
      <x:c r="C80"/>
      <x:c r="D80"/>
      <x:c r="E80"/>
      <x:c r="F80"/>
    </x:row>
    <x:row r="81">
      <x:c r="A81"/>
      <x:c r="B81"/>
      <x:c r="C81"/>
      <x:c r="D81"/>
      <x:c r="E81"/>
      <x:c r="F81"/>
    </x:row>
    <x:row r="82">
      <x:c r="A82"/>
      <x:c r="B82"/>
      <x:c r="C82"/>
      <x:c r="D82"/>
      <x:c r="E82"/>
      <x:c r="F82"/>
    </x:row>
    <x:row r="83">
      <x:c r="A83"/>
      <x:c r="B83"/>
      <x:c r="C83"/>
      <x:c r="D83"/>
      <x:c r="E83"/>
      <x:c r="F83"/>
    </x:row>
    <x:row r="84">
      <x:c r="A84"/>
      <x:c r="B84"/>
      <x:c r="C84"/>
      <x:c r="D84"/>
      <x:c r="E84"/>
      <x:c r="F84"/>
    </x:row>
    <x:row r="85">
      <x:c r="A85"/>
      <x:c r="B85"/>
      <x:c r="C85"/>
      <x:c r="D85"/>
      <x:c r="E85"/>
      <x:c r="F85"/>
    </x:row>
    <x:row r="86">
      <x:c r="A86"/>
      <x:c r="B86"/>
      <x:c r="C86"/>
      <x:c r="D86"/>
      <x:c r="E86"/>
      <x:c r="F86"/>
    </x:row>
    <x:row r="87">
      <x:c r="A87"/>
      <x:c r="B87"/>
      <x:c r="C87"/>
      <x:c r="D87"/>
      <x:c r="E87"/>
      <x:c r="F87"/>
    </x:row>
    <x:row r="88">
      <x:c r="A88"/>
      <x:c r="B88"/>
      <x:c r="C88"/>
      <x:c r="D88"/>
      <x:c r="E88"/>
      <x:c r="F88"/>
    </x:row>
    <x:row r="89">
      <x:c r="A89"/>
      <x:c r="B89"/>
      <x:c r="C89"/>
      <x:c r="D89"/>
      <x:c r="E89"/>
      <x:c r="F89"/>
    </x:row>
    <x:row r="90">
      <x:c r="A90"/>
      <x:c r="B90"/>
      <x:c r="C90"/>
      <x:c r="D90"/>
      <x:c r="E90"/>
      <x:c r="F90"/>
    </x:row>
    <x:row r="91">
      <x:c r="A91"/>
      <x:c r="B91"/>
      <x:c r="C91"/>
      <x:c r="D91"/>
      <x:c r="E91"/>
      <x:c r="F91"/>
    </x:row>
    <x:row r="92">
      <x:c r="A92"/>
      <x:c r="B92"/>
      <x:c r="C92"/>
      <x:c r="D92"/>
      <x:c r="E92"/>
      <x:c r="F92"/>
    </x:row>
    <x:row r="93">
      <x:c r="A93"/>
      <x:c r="B93"/>
      <x:c r="C93"/>
      <x:c r="D93"/>
      <x:c r="E93"/>
      <x:c r="F93"/>
    </x:row>
    <x:row r="94">
      <x:c r="A94"/>
      <x:c r="B94"/>
      <x:c r="C94"/>
      <x:c r="D94"/>
      <x:c r="E94"/>
      <x:c r="F94"/>
    </x:row>
    <x:row r="95">
      <x:c r="A95"/>
      <x:c r="B95"/>
      <x:c r="C95"/>
      <x:c r="D95"/>
      <x:c r="E95"/>
      <x:c r="F95"/>
    </x:row>
    <x:row r="96">
      <x:c r="A96"/>
      <x:c r="B96"/>
      <x:c r="C96"/>
      <x:c r="D96"/>
      <x:c r="E96"/>
      <x:c r="F96"/>
    </x:row>
    <x:row r="97">
      <x:c r="A97"/>
      <x:c r="B97"/>
      <x:c r="C97"/>
      <x:c r="D97"/>
      <x:c r="E97"/>
      <x:c r="F97"/>
    </x:row>
    <x:row r="98">
      <x:c r="A98"/>
      <x:c r="B98"/>
      <x:c r="C98"/>
      <x:c r="D98"/>
      <x:c r="E98"/>
      <x:c r="F98"/>
    </x:row>
    <x:row r="99">
      <x:c r="A99"/>
      <x:c r="B99"/>
      <x:c r="C99"/>
      <x:c r="D99"/>
      <x:c r="E99"/>
      <x:c r="F99"/>
    </x:row>
    <x:row r="100">
      <x:c r="A100"/>
      <x:c r="B100"/>
      <x:c r="C100"/>
      <x:c r="D100"/>
      <x:c r="E100"/>
      <x:c r="F100"/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1020eb32f0c1464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5" hidden="0" customWidth="1"/>
    <x:col min="3" max="3" width="34" hidden="0" customWidth="1"/>
    <x:col min="4" max="4" width="55" hidden="0" customWidth="1"/>
    <x:col min="5" max="5" width="38" hidden="0" customWidth="1"/>
    <x:col min="6" max="6" width="18" hidden="0" customWidth="1"/>
  </x:cols>
  <x:sheetData>
    <x:row r="1">
      <x:c r="A1" s="148" t="str">
        <x:v>HELP DESK KNOWLEDGE BASE — 15 SUPPORT ARTICLES</x:v>
      </x:c>
      <x:c r="B1" s="148"/>
      <x:c r="C1" s="148"/>
      <x:c r="D1" s="148"/>
      <x:c r="E1" s="148"/>
      <x:c r="F1" s="148"/>
    </x:row>
    <x:row r="2" ht="30" customHeight="1">
      <x:c r="A2" s="161" t="str">
        <x:v>Article ID</x:v>
      </x:c>
      <x:c r="B2" s="161" t="str">
        <x:v>Issue</x:v>
      </x:c>
      <x:c r="C2" s="161" t="str">
        <x:v>Symptoms</x:v>
      </x:c>
      <x:c r="D2" s="161" t="str">
        <x:v>Troubleshooting Steps</x:v>
      </x:c>
      <x:c r="E2" s="161" t="str">
        <x:v>Resolution Check</x:v>
      </x:c>
      <x:c r="F2" s="161" t="str">
        <x:v>Category</x:v>
      </x:c>
    </x:row>
    <x:row r="3" ht="58" customHeight="1">
      <x:c r="A3" s="161" t="str">
        <x:v>KB-001</x:v>
      </x:c>
      <x:c r="B3" s="161" t="str">
        <x:v>Cannot connect to Wi-Fi</x:v>
      </x:c>
      <x:c r="C3" s="161" t="str">
        <x:v>No internet, network missing, or limited connection.</x:v>
      </x:c>
      <x:c r="D3" s="161" t="str">
        <x:v>Confirm Wi-Fi is enabled; compare another device; renew IP settings; forget and reconnect; restart the adapter.</x:v>
      </x:c>
      <x:c r="E3" s="161" t="str">
        <x:v>Open two approved websites and confirm stable connectivity.</x:v>
      </x:c>
      <x:c r="F3" s="161" t="str">
        <x:v>Network</x:v>
      </x:c>
    </x:row>
    <x:row r="4" ht="58" customHeight="1">
      <x:c r="A4" s="161" t="str">
        <x:v>KB-002</x:v>
      </x:c>
      <x:c r="B4" s="161" t="str">
        <x:v>Account locked</x:v>
      </x:c>
      <x:c r="C4" s="161" t="str">
        <x:v>Correct password rejected after repeated attempts.</x:v>
      </x:c>
      <x:c r="D4" s="161" t="str">
        <x:v>Verify identity; confirm lockout; unlock the account or reset the password according to policy.</x:v>
      </x:c>
      <x:c r="E4" s="161" t="str">
        <x:v>Have the user sign in and change the temporary password.</x:v>
      </x:c>
      <x:c r="F4" s="161" t="str">
        <x:v>Account Access</x:v>
      </x:c>
    </x:row>
    <x:row r="5" ht="58" customHeight="1">
      <x:c r="A5" s="161" t="str">
        <x:v>KB-003</x:v>
      </x:c>
      <x:c r="B5" s="161" t="str">
        <x:v>Printer offline</x:v>
      </x:c>
      <x:c r="C5" s="161" t="str">
        <x:v>Jobs remain queued and printer appears unavailable.</x:v>
      </x:c>
      <x:c r="D5" s="161" t="str">
        <x:v>Check power and paper; verify network; clear queue; restart Print Spooler; re-add printer by IP.</x:v>
      </x:c>
      <x:c r="E5" s="161" t="str">
        <x:v>Print a test page.</x:v>
      </x:c>
      <x:c r="F5" s="161" t="str">
        <x:v>Printer</x:v>
      </x:c>
    </x:row>
    <x:row r="6" ht="58" customHeight="1">
      <x:c r="A6" s="161" t="str">
        <x:v>KB-004</x:v>
      </x:c>
      <x:c r="B6" s="161" t="str">
        <x:v>Computer running slowly</x:v>
      </x:c>
      <x:c r="C6" s="161" t="str">
        <x:v>Long startup, delayed apps, or high disk usage.</x:v>
      </x:c>
      <x:c r="D6" s="161" t="str">
        <x:v>Review startup apps; check disk space and utilization; install updates; run approved malware scan.</x:v>
      </x:c>
      <x:c r="E6" s="161" t="str">
        <x:v>Confirm normal startup and app response.</x:v>
      </x:c>
      <x:c r="F6" s="161" t="str">
        <x:v>Hardware</x:v>
      </x:c>
    </x:row>
    <x:row r="7" ht="58" customHeight="1">
      <x:c r="A7" s="161" t="str">
        <x:v>KB-005</x:v>
      </x:c>
      <x:c r="B7" s="161" t="str">
        <x:v>Suspicious email</x:v>
      </x:c>
      <x:c r="C7" s="161" t="str">
        <x:v>Urgent language, unknown link, or password request.</x:v>
      </x:c>
      <x:c r="D7" s="161" t="str">
        <x:v>Do not click; record sender and subject; report message; verify whether a link or attachment was opened.</x:v>
      </x:c>
      <x:c r="E7" s="161" t="str">
        <x:v>Confirm quarantine and account security.</x:v>
      </x:c>
      <x:c r="F7" s="161" t="str">
        <x:v>Security</x:v>
      </x:c>
    </x:row>
    <x:row r="8" ht="58" customHeight="1">
      <x:c r="A8" s="161" t="str">
        <x:v>KB-006</x:v>
      </x:c>
      <x:c r="B8" s="161" t="str">
        <x:v>Outlook not syncing</x:v>
      </x:c>
      <x:c r="C8" s="161" t="str">
        <x:v>New mail missing or send/receive stuck.</x:v>
      </x:c>
      <x:c r="D8" s="161" t="str">
        <x:v>Verify connectivity; disable Work Offline; restart Outlook; test webmail; recreate profile if needed.</x:v>
      </x:c>
      <x:c r="E8" s="161" t="str">
        <x:v>Send and receive a test message.</x:v>
      </x:c>
      <x:c r="F8" s="161" t="str">
        <x:v>Email</x:v>
      </x:c>
    </x:row>
    <x:row r="9" ht="58" customHeight="1">
      <x:c r="A9" s="161" t="str">
        <x:v>KB-007</x:v>
      </x:c>
      <x:c r="B9" s="161" t="str">
        <x:v>VPN authentication error</x:v>
      </x:c>
      <x:c r="C9" s="161" t="str">
        <x:v>VPN rejects credentials or MFA.</x:v>
      </x:c>
      <x:c r="D9" s="161" t="str">
        <x:v>Verify internet and system time; confirm VPN profile; re-enter credentials; refresh MFA registration.</x:v>
      </x:c>
      <x:c r="E9" s="161" t="str">
        <x:v>Connect and open an internal resource.</x:v>
      </x:c>
      <x:c r="F9" s="161" t="str">
        <x:v>VPN</x:v>
      </x:c>
    </x:row>
    <x:row r="10" ht="58" customHeight="1">
      <x:c r="A10" s="161" t="str">
        <x:v>KB-008</x:v>
      </x:c>
      <x:c r="B10" s="161" t="str">
        <x:v>Excel freezes</x:v>
      </x:c>
      <x:c r="C10" s="161" t="str">
        <x:v>Application stops responding on one workbook.</x:v>
      </x:c>
      <x:c r="D10" s="161" t="str">
        <x:v>Test another file; check storage; end process; install updates; run Office quick repair.</x:v>
      </x:c>
      <x:c r="E10" s="161" t="str">
        <x:v>Open, edit, and save the affected workbook.</x:v>
      </x:c>
      <x:c r="F10" s="161" t="str">
        <x:v>Software</x:v>
      </x:c>
    </x:row>
    <x:row r="11" ht="58" customHeight="1">
      <x:c r="A11" s="161" t="str">
        <x:v>KB-009</x:v>
      </x:c>
      <x:c r="B11" s="161" t="str">
        <x:v>No conference-room audio</x:v>
      </x:c>
      <x:c r="C11" s="161" t="str">
        <x:v>Video works but speakers are silent.</x:v>
      </x:c>
      <x:c r="D11" s="161" t="str">
        <x:v>Check cable and input; confirm Windows output device; inspect app audio; restart room system.</x:v>
      </x:c>
      <x:c r="E11" s="161" t="str">
        <x:v>Complete a test call with clear audio.</x:v>
      </x:c>
      <x:c r="F11" s="161" t="str">
        <x:v>Audio/Visual</x:v>
      </x:c>
    </x:row>
    <x:row r="12" ht="58" customHeight="1">
      <x:c r="A12" s="161" t="str">
        <x:v>KB-010</x:v>
      </x:c>
      <x:c r="B12" s="161" t="str">
        <x:v>MFA prompt missing</x:v>
      </x:c>
      <x:c r="C12" s="161" t="str">
        <x:v>Authenticator notification never appears.</x:v>
      </x:c>
      <x:c r="D12" s="161" t="str">
        <x:v>Check phone network; notification permissions; device time; app registration; background data.</x:v>
      </x:c>
      <x:c r="E12" s="161" t="str">
        <x:v>Approve a test sign-in.</x:v>
      </x:c>
      <x:c r="F12" s="161" t="str">
        <x:v>Mobile Device</x:v>
      </x:c>
    </x:row>
    <x:row r="13" ht="58" customHeight="1">
      <x:c r="A13" s="161" t="str">
        <x:v>KB-011</x:v>
      </x:c>
      <x:c r="B13" s="161" t="str">
        <x:v>Blue screen after update</x:v>
      </x:c>
      <x:c r="C13" s="161" t="str">
        <x:v>Device restarts with a stop code.</x:v>
      </x:c>
      <x:c r="D13" s="161" t="str">
        <x:v>Record stop code; disconnect peripherals; boot safe mode; review update history; run hardware diagnostics.</x:v>
      </x:c>
      <x:c r="E13" s="161" t="str">
        <x:v>Complete two restarts without recurrence.</x:v>
      </x:c>
      <x:c r="F13" s="161" t="str">
        <x:v>Hardware</x:v>
      </x:c>
    </x:row>
    <x:row r="14" ht="58" customHeight="1">
      <x:c r="A14" s="161" t="str">
        <x:v>KB-012</x:v>
      </x:c>
      <x:c r="B14" s="161" t="str">
        <x:v>Shared drive unavailable</x:v>
      </x:c>
      <x:c r="C14" s="161" t="str">
        <x:v>Mapped drive shows disconnected.</x:v>
      </x:c>
      <x:c r="D14" s="161" t="str">
        <x:v>Verify network/VPN; test server path; renew credentials; remap drive; confirm permissions.</x:v>
      </x:c>
      <x:c r="E14" s="161" t="str">
        <x:v>Open and save a test file.</x:v>
      </x:c>
      <x:c r="F14" s="161" t="str">
        <x:v>Network</x:v>
      </x:c>
    </x:row>
    <x:row r="15" ht="58" customHeight="1">
      <x:c r="A15" s="161" t="str">
        <x:v>KB-013</x:v>
      </x:c>
      <x:c r="B15" s="161" t="str">
        <x:v>Password-expiration prompt</x:v>
      </x:c>
      <x:c r="C15" s="161" t="str">
        <x:v>User cannot finish password change.</x:v>
      </x:c>
      <x:c r="D15" s="161" t="str">
        <x:v>Verify identity and policy; confirm password requirements; reset through approved process.</x:v>
      </x:c>
      <x:c r="E15" s="161" t="str">
        <x:v>Sign in with new password on workstation and email.</x:v>
      </x:c>
      <x:c r="F15" s="161" t="str">
        <x:v>Account Access</x:v>
      </x:c>
    </x:row>
    <x:row r="16" ht="58" customHeight="1">
      <x:c r="A16" s="161" t="str">
        <x:v>KB-014</x:v>
      </x:c>
      <x:c r="B16" s="161" t="str">
        <x:v>Teams camera unavailable</x:v>
      </x:c>
      <x:c r="C16" s="161" t="str">
        <x:v>Camera missing or used by another app.</x:v>
      </x:c>
      <x:c r="D16" s="161" t="str">
        <x:v>Check privacy permissions; close competing apps; select correct camera; update driver; restart Teams.</x:v>
      </x:c>
      <x:c r="E16" s="161" t="str">
        <x:v>Complete a test meeting.</x:v>
      </x:c>
      <x:c r="F16" s="161" t="str">
        <x:v>Software</x:v>
      </x:c>
    </x:row>
    <x:row r="17" ht="58" customHeight="1">
      <x:c r="A17" s="161" t="str">
        <x:v>KB-015</x:v>
      </x:c>
      <x:c r="B17" s="161" t="str">
        <x:v>BitLocker recovery screen</x:v>
      </x:c>
      <x:c r="C17" s="161" t="str">
        <x:v>Device requests a recovery key at startup.</x:v>
      </x:c>
      <x:c r="D17" s="161" t="str">
        <x:v>Verify asset and user identity; retrieve key through approved escrow; record reason; check recent BIOS changes.</x:v>
      </x:c>
      <x:c r="E17" s="161" t="str">
        <x:v>Boot successfully and confirm encryption is healthy.</x:v>
      </x:c>
      <x:c r="F17" s="161" t="str">
        <x:v>Security</x:v>
      </x:c>
    </x:row>
    <x:row r="18">
      <x:c r="A18"/>
      <x:c r="B18"/>
      <x:c r="C18"/>
      <x:c r="D18"/>
      <x:c r="E18"/>
      <x:c r="F18"/>
    </x:row>
    <x:row r="19">
      <x:c r="A19"/>
      <x:c r="B19"/>
      <x:c r="C19"/>
      <x:c r="D19"/>
      <x:c r="E19"/>
      <x:c r="F19"/>
    </x:row>
    <x:row r="20">
      <x:c r="A20"/>
      <x:c r="B20"/>
      <x:c r="C20"/>
      <x:c r="D20"/>
      <x:c r="E20"/>
      <x:c r="F20"/>
    </x:row>
    <x:row r="21">
      <x:c r="A21"/>
      <x:c r="B21"/>
      <x:c r="C21"/>
      <x:c r="D21"/>
      <x:c r="E21"/>
      <x:c r="F21"/>
    </x:row>
    <x:row r="22">
      <x:c r="A22"/>
      <x:c r="B22"/>
      <x:c r="C22"/>
      <x:c r="D22"/>
      <x:c r="E22"/>
      <x:c r="F22"/>
    </x:row>
    <x:row r="23">
      <x:c r="A23"/>
      <x:c r="B23"/>
      <x:c r="C23"/>
      <x:c r="D23"/>
      <x:c r="E23"/>
      <x:c r="F23"/>
    </x:row>
    <x:row r="24">
      <x:c r="A24"/>
      <x:c r="B24"/>
      <x:c r="C24"/>
      <x:c r="D24"/>
      <x:c r="E24"/>
      <x:c r="F24"/>
    </x:row>
    <x:row r="25">
      <x:c r="A25"/>
      <x:c r="B25"/>
      <x:c r="C25"/>
      <x:c r="D25"/>
      <x:c r="E25"/>
      <x:c r="F25"/>
    </x:row>
    <x:row r="26">
      <x:c r="A26"/>
      <x:c r="B26"/>
      <x:c r="C26"/>
      <x:c r="D26"/>
      <x:c r="E26"/>
      <x:c r="F26"/>
    </x:row>
    <x:row r="27">
      <x:c r="A27"/>
      <x:c r="B27"/>
      <x:c r="C27"/>
      <x:c r="D27"/>
      <x:c r="E27"/>
      <x:c r="F27"/>
    </x:row>
    <x:row r="28">
      <x:c r="A28"/>
      <x:c r="B28"/>
      <x:c r="C28"/>
      <x:c r="D28"/>
      <x:c r="E28"/>
      <x:c r="F28"/>
    </x:row>
    <x:row r="29">
      <x:c r="A29"/>
      <x:c r="B29"/>
      <x:c r="C29"/>
      <x:c r="D29"/>
      <x:c r="E29"/>
      <x:c r="F29"/>
    </x:row>
    <x:row r="30">
      <x:c r="A30"/>
      <x:c r="B30"/>
      <x:c r="C30"/>
      <x:c r="D30"/>
      <x:c r="E30"/>
      <x:c r="F30"/>
    </x:row>
    <x:row r="31">
      <x:c r="A31"/>
      <x:c r="B31"/>
      <x:c r="C31"/>
      <x:c r="D31"/>
      <x:c r="E31"/>
      <x:c r="F31"/>
    </x:row>
    <x:row r="32">
      <x:c r="A32"/>
      <x:c r="B32"/>
      <x:c r="C32"/>
      <x:c r="D32"/>
      <x:c r="E32"/>
      <x:c r="F32"/>
    </x:row>
    <x:row r="33">
      <x:c r="A33"/>
      <x:c r="B33"/>
      <x:c r="C33"/>
      <x:c r="D33"/>
      <x:c r="E33"/>
      <x:c r="F33"/>
    </x:row>
    <x:row r="34">
      <x:c r="A34"/>
      <x:c r="B34"/>
      <x:c r="C34"/>
      <x:c r="D34"/>
      <x:c r="E34"/>
      <x:c r="F34"/>
    </x:row>
    <x:row r="35">
      <x:c r="A35"/>
      <x:c r="B35"/>
      <x:c r="C35"/>
      <x:c r="D35"/>
      <x:c r="E35"/>
      <x:c r="F35"/>
    </x:row>
    <x:row r="36">
      <x:c r="A36"/>
      <x:c r="B36"/>
      <x:c r="C36"/>
      <x:c r="D36"/>
      <x:c r="E36"/>
      <x:c r="F36"/>
    </x:row>
    <x:row r="37">
      <x:c r="A37"/>
      <x:c r="B37"/>
      <x:c r="C37"/>
      <x:c r="D37"/>
      <x:c r="E37"/>
      <x:c r="F37"/>
    </x:row>
    <x:row r="38">
      <x:c r="A38"/>
      <x:c r="B38"/>
      <x:c r="C38"/>
      <x:c r="D38"/>
      <x:c r="E38"/>
      <x:c r="F38"/>
    </x:row>
    <x:row r="39">
      <x:c r="A39"/>
      <x:c r="B39"/>
      <x:c r="C39"/>
      <x:c r="D39"/>
      <x:c r="E39"/>
      <x:c r="F39"/>
    </x:row>
    <x:row r="40">
      <x:c r="A40"/>
      <x:c r="B40"/>
      <x:c r="C40"/>
      <x:c r="D40"/>
      <x:c r="E40"/>
      <x:c r="F40"/>
    </x:row>
    <x:row r="41">
      <x:c r="A41"/>
      <x:c r="B41"/>
      <x:c r="C41"/>
      <x:c r="D41"/>
      <x:c r="E41"/>
      <x:c r="F41"/>
    </x:row>
    <x:row r="42">
      <x:c r="A42"/>
      <x:c r="B42"/>
      <x:c r="C42"/>
      <x:c r="D42"/>
      <x:c r="E42"/>
      <x:c r="F42"/>
    </x:row>
    <x:row r="43">
      <x:c r="A43"/>
      <x:c r="B43"/>
      <x:c r="C43"/>
      <x:c r="D43"/>
      <x:c r="E43"/>
      <x:c r="F43"/>
    </x:row>
    <x:row r="44">
      <x:c r="A44"/>
      <x:c r="B44"/>
      <x:c r="C44"/>
      <x:c r="D44"/>
      <x:c r="E44"/>
      <x:c r="F44"/>
    </x:row>
    <x:row r="45">
      <x:c r="A45"/>
      <x:c r="B45"/>
      <x:c r="C45"/>
      <x:c r="D45"/>
      <x:c r="E45"/>
      <x:c r="F45"/>
    </x:row>
    <x:row r="46">
      <x:c r="A46"/>
      <x:c r="B46"/>
      <x:c r="C46"/>
      <x:c r="D46"/>
      <x:c r="E46"/>
      <x:c r="F46"/>
    </x:row>
    <x:row r="47">
      <x:c r="A47"/>
      <x:c r="B47"/>
      <x:c r="C47"/>
      <x:c r="D47"/>
      <x:c r="E47"/>
      <x:c r="F47"/>
    </x:row>
    <x:row r="48">
      <x:c r="A48"/>
      <x:c r="B48"/>
      <x:c r="C48"/>
      <x:c r="D48"/>
      <x:c r="E48"/>
      <x:c r="F48"/>
    </x:row>
    <x:row r="49">
      <x:c r="A49"/>
      <x:c r="B49"/>
      <x:c r="C49"/>
      <x:c r="D49"/>
      <x:c r="E49"/>
      <x:c r="F49"/>
    </x:row>
    <x:row r="50">
      <x:c r="A50"/>
      <x:c r="B50"/>
      <x:c r="C50"/>
      <x:c r="D50"/>
      <x:c r="E50"/>
      <x:c r="F50"/>
    </x:row>
    <x:row r="51">
      <x:c r="A51"/>
      <x:c r="B51"/>
      <x:c r="C51"/>
      <x:c r="D51"/>
      <x:c r="E51"/>
      <x:c r="F51"/>
    </x:row>
    <x:row r="52">
      <x:c r="A52"/>
      <x:c r="B52"/>
      <x:c r="C52"/>
      <x:c r="D52"/>
      <x:c r="E52"/>
      <x:c r="F52"/>
    </x:row>
    <x:row r="53">
      <x:c r="A53"/>
      <x:c r="B53"/>
      <x:c r="C53"/>
      <x:c r="D53"/>
      <x:c r="E53"/>
      <x:c r="F53"/>
    </x:row>
    <x:row r="54">
      <x:c r="A54"/>
      <x:c r="B54"/>
      <x:c r="C54"/>
      <x:c r="D54"/>
      <x:c r="E54"/>
      <x:c r="F54"/>
    </x:row>
    <x:row r="55">
      <x:c r="A55"/>
      <x:c r="B55"/>
      <x:c r="C55"/>
      <x:c r="D55"/>
      <x:c r="E55"/>
      <x:c r="F55"/>
    </x:row>
    <x:row r="56">
      <x:c r="A56"/>
      <x:c r="B56"/>
      <x:c r="C56"/>
      <x:c r="D56"/>
      <x:c r="E56"/>
      <x:c r="F56"/>
    </x:row>
    <x:row r="57">
      <x:c r="A57"/>
      <x:c r="B57"/>
      <x:c r="C57"/>
      <x:c r="D57"/>
      <x:c r="E57"/>
      <x:c r="F57"/>
    </x:row>
    <x:row r="58">
      <x:c r="A58"/>
      <x:c r="B58"/>
      <x:c r="C58"/>
      <x:c r="D58"/>
      <x:c r="E58"/>
      <x:c r="F58"/>
    </x:row>
    <x:row r="59">
      <x:c r="A59"/>
      <x:c r="B59"/>
      <x:c r="C59"/>
      <x:c r="D59"/>
      <x:c r="E59"/>
      <x:c r="F59"/>
    </x:row>
    <x:row r="60">
      <x:c r="A60"/>
      <x:c r="B60"/>
      <x:c r="C60"/>
      <x:c r="D60"/>
      <x:c r="E60"/>
      <x:c r="F60"/>
    </x:row>
    <x:row r="61">
      <x:c r="A61"/>
      <x:c r="B61"/>
      <x:c r="C61"/>
      <x:c r="D61"/>
      <x:c r="E61"/>
      <x:c r="F61"/>
    </x:row>
    <x:row r="62">
      <x:c r="A62"/>
      <x:c r="B62"/>
      <x:c r="C62"/>
      <x:c r="D62"/>
      <x:c r="E62"/>
      <x:c r="F62"/>
    </x:row>
    <x:row r="63">
      <x:c r="A63"/>
      <x:c r="B63"/>
      <x:c r="C63"/>
      <x:c r="D63"/>
      <x:c r="E63"/>
      <x:c r="F63"/>
    </x:row>
    <x:row r="64">
      <x:c r="A64"/>
      <x:c r="B64"/>
      <x:c r="C64"/>
      <x:c r="D64"/>
      <x:c r="E64"/>
      <x:c r="F64"/>
    </x:row>
    <x:row r="65">
      <x:c r="A65"/>
      <x:c r="B65"/>
      <x:c r="C65"/>
      <x:c r="D65"/>
      <x:c r="E65"/>
      <x:c r="F65"/>
    </x:row>
    <x:row r="66">
      <x:c r="A66"/>
      <x:c r="B66"/>
      <x:c r="C66"/>
      <x:c r="D66"/>
      <x:c r="E66"/>
      <x:c r="F66"/>
    </x:row>
    <x:row r="67">
      <x:c r="A67"/>
      <x:c r="B67"/>
      <x:c r="C67"/>
      <x:c r="D67"/>
      <x:c r="E67"/>
      <x:c r="F67"/>
    </x:row>
    <x:row r="68">
      <x:c r="A68"/>
      <x:c r="B68"/>
      <x:c r="C68"/>
      <x:c r="D68"/>
      <x:c r="E68"/>
      <x:c r="F68"/>
    </x:row>
    <x:row r="69">
      <x:c r="A69"/>
      <x:c r="B69"/>
      <x:c r="C69"/>
      <x:c r="D69"/>
      <x:c r="E69"/>
      <x:c r="F69"/>
    </x:row>
    <x:row r="70">
      <x:c r="A70"/>
      <x:c r="B70"/>
      <x:c r="C70"/>
      <x:c r="D70"/>
      <x:c r="E70"/>
      <x:c r="F70"/>
    </x:row>
    <x:row r="71">
      <x:c r="A71"/>
      <x:c r="B71"/>
      <x:c r="C71"/>
      <x:c r="D71"/>
      <x:c r="E71"/>
      <x:c r="F71"/>
    </x:row>
    <x:row r="72">
      <x:c r="A72"/>
      <x:c r="B72"/>
      <x:c r="C72"/>
      <x:c r="D72"/>
      <x:c r="E72"/>
      <x:c r="F72"/>
    </x:row>
    <x:row r="73">
      <x:c r="A73"/>
      <x:c r="B73"/>
      <x:c r="C73"/>
      <x:c r="D73"/>
      <x:c r="E73"/>
      <x:c r="F73"/>
    </x:row>
    <x:row r="74">
      <x:c r="A74"/>
      <x:c r="B74"/>
      <x:c r="C74"/>
      <x:c r="D74"/>
      <x:c r="E74"/>
      <x:c r="F74"/>
    </x:row>
    <x:row r="75">
      <x:c r="A75"/>
      <x:c r="B75"/>
      <x:c r="C75"/>
      <x:c r="D75"/>
      <x:c r="E75"/>
      <x:c r="F75"/>
    </x:row>
    <x:row r="76">
      <x:c r="A76"/>
      <x:c r="B76"/>
      <x:c r="C76"/>
      <x:c r="D76"/>
      <x:c r="E76"/>
      <x:c r="F76"/>
    </x:row>
    <x:row r="77">
      <x:c r="A77"/>
      <x:c r="B77"/>
      <x:c r="C77"/>
      <x:c r="D77"/>
      <x:c r="E77"/>
      <x:c r="F77"/>
    </x:row>
    <x:row r="78">
      <x:c r="A78"/>
      <x:c r="B78"/>
      <x:c r="C78"/>
      <x:c r="D78"/>
      <x:c r="E78"/>
      <x:c r="F78"/>
    </x:row>
    <x:row r="79">
      <x:c r="A79"/>
      <x:c r="B79"/>
      <x:c r="C79"/>
      <x:c r="D79"/>
      <x:c r="E79"/>
      <x:c r="F79"/>
    </x:row>
    <x:row r="80">
      <x:c r="A80"/>
      <x:c r="B80"/>
      <x:c r="C80"/>
      <x:c r="D80"/>
      <x:c r="E80"/>
      <x:c r="F80"/>
    </x:row>
    <x:row r="81">
      <x:c r="A81"/>
      <x:c r="B81"/>
      <x:c r="C81"/>
      <x:c r="D81"/>
      <x:c r="E81"/>
      <x:c r="F81"/>
    </x:row>
    <x:row r="82">
      <x:c r="A82"/>
      <x:c r="B82"/>
      <x:c r="C82"/>
      <x:c r="D82"/>
      <x:c r="E82"/>
      <x:c r="F82"/>
    </x:row>
    <x:row r="83">
      <x:c r="A83"/>
      <x:c r="B83"/>
      <x:c r="C83"/>
      <x:c r="D83"/>
      <x:c r="E83"/>
      <x:c r="F83"/>
    </x:row>
    <x:row r="84">
      <x:c r="A84"/>
      <x:c r="B84"/>
      <x:c r="C84"/>
      <x:c r="D84"/>
      <x:c r="E84"/>
      <x:c r="F84"/>
    </x:row>
    <x:row r="85">
      <x:c r="A85"/>
      <x:c r="B85"/>
      <x:c r="C85"/>
      <x:c r="D85"/>
      <x:c r="E85"/>
      <x:c r="F85"/>
    </x:row>
    <x:row r="86">
      <x:c r="A86"/>
      <x:c r="B86"/>
      <x:c r="C86"/>
      <x:c r="D86"/>
      <x:c r="E86"/>
      <x:c r="F86"/>
    </x:row>
    <x:row r="87">
      <x:c r="A87"/>
      <x:c r="B87"/>
      <x:c r="C87"/>
      <x:c r="D87"/>
      <x:c r="E87"/>
      <x:c r="F87"/>
    </x:row>
    <x:row r="88">
      <x:c r="A88"/>
      <x:c r="B88"/>
      <x:c r="C88"/>
      <x:c r="D88"/>
      <x:c r="E88"/>
      <x:c r="F88"/>
    </x:row>
    <x:row r="89">
      <x:c r="A89"/>
      <x:c r="B89"/>
      <x:c r="C89"/>
      <x:c r="D89"/>
      <x:c r="E89"/>
      <x:c r="F89"/>
    </x:row>
    <x:row r="90">
      <x:c r="A90"/>
      <x:c r="B90"/>
      <x:c r="C90"/>
      <x:c r="D90"/>
      <x:c r="E90"/>
      <x:c r="F90"/>
    </x:row>
    <x:row r="91">
      <x:c r="A91"/>
      <x:c r="B91"/>
      <x:c r="C91"/>
      <x:c r="D91"/>
      <x:c r="E91"/>
      <x:c r="F91"/>
    </x:row>
    <x:row r="92">
      <x:c r="A92"/>
      <x:c r="B92"/>
      <x:c r="C92"/>
      <x:c r="D92"/>
      <x:c r="E92"/>
      <x:c r="F92"/>
    </x:row>
    <x:row r="93">
      <x:c r="A93"/>
      <x:c r="B93"/>
      <x:c r="C93"/>
      <x:c r="D93"/>
      <x:c r="E93"/>
      <x:c r="F93"/>
    </x:row>
    <x:row r="94">
      <x:c r="A94"/>
      <x:c r="B94"/>
      <x:c r="C94"/>
      <x:c r="D94"/>
      <x:c r="E94"/>
      <x:c r="F94"/>
    </x:row>
    <x:row r="95">
      <x:c r="A95"/>
      <x:c r="B95"/>
      <x:c r="C95"/>
      <x:c r="D95"/>
      <x:c r="E95"/>
      <x:c r="F95"/>
    </x:row>
    <x:row r="96">
      <x:c r="A96"/>
      <x:c r="B96"/>
      <x:c r="C96"/>
      <x:c r="D96"/>
      <x:c r="E96"/>
      <x:c r="F96"/>
    </x:row>
    <x:row r="97">
      <x:c r="A97"/>
      <x:c r="B97"/>
      <x:c r="C97"/>
      <x:c r="D97"/>
      <x:c r="E97"/>
      <x:c r="F97"/>
    </x:row>
    <x:row r="98">
      <x:c r="A98"/>
      <x:c r="B98"/>
      <x:c r="C98"/>
      <x:c r="D98"/>
      <x:c r="E98"/>
      <x:c r="F98"/>
    </x:row>
    <x:row r="99">
      <x:c r="A99"/>
      <x:c r="B99"/>
      <x:c r="C99"/>
      <x:c r="D99"/>
      <x:c r="E99"/>
      <x:c r="F99"/>
    </x:row>
    <x:row r="100">
      <x:c r="A100"/>
      <x:c r="B100"/>
      <x:c r="C100"/>
      <x:c r="D100"/>
      <x:c r="E100"/>
      <x:c r="F100"/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3b5204f89156440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>
      <x:c r="A1" s="148" t="str">
        <x:v>HELP DESK TICKETING SYSTEM — PORTFOLIO GUIDE</x:v>
      </x:c>
      <x:c r="B1" s="148"/>
      <x:c r="C1" s="148"/>
      <x:c r="D1" s="148"/>
      <x:c r="E1" s="148"/>
      <x:c r="F1" s="148"/>
      <x:c r="G1" s="148"/>
      <x:c r="H1" s="148"/>
    </x:row>
    <x:row r="3">
      <x:c r="A3" s="135" t="str">
        <x:v>Workbook Section</x:v>
      </x:c>
      <x:c r="B3" s="135" t="str">
        <x:v>Purpose</x:v>
      </x:c>
      <x:c r="C3" s="135"/>
      <x:c r="D3" s="135"/>
      <x:c r="E3" s="135"/>
      <x:c r="F3" s="135"/>
      <x:c r="G3" s="135"/>
      <x:c r="H3" s="135"/>
    </x:row>
    <x:row r="4" ht="36" customHeight="1">
      <x:c r="A4" s="279" t="str">
        <x:v>Dashboard</x:v>
      </x:c>
      <x:c r="B4" s="281" t="str">
        <x:v>Provides KPI cards and charts for ticket volume, backlog, priority, SLA performance, and resolution time.</x:v>
      </x:c>
      <x:c r="C4" s="281"/>
      <x:c r="D4" s="281"/>
      <x:c r="E4" s="281"/>
      <x:c r="F4" s="281"/>
      <x:c r="G4" s="281"/>
      <x:c r="H4" s="281"/>
    </x:row>
    <x:row r="5" ht="36" customHeight="1">
      <x:c r="A5" s="279" t="str">
        <x:v>Tickets</x:v>
      </x:c>
      <x:c r="B5" s="281" t="str">
        <x:v>Tracks 100 simulated incidents from intake through assignment, troubleshooting, and closure.</x:v>
      </x:c>
      <x:c r="C5" s="281"/>
      <x:c r="D5" s="281"/>
      <x:c r="E5" s="281"/>
      <x:c r="F5" s="281"/>
      <x:c r="G5" s="281"/>
      <x:c r="H5" s="281"/>
    </x:row>
    <x:row r="6" ht="36" customHeight="1">
      <x:c r="A6" s="279" t="str">
        <x:v>Reports</x:v>
      </x:c>
      <x:c r="B6" s="281" t="str">
        <x:v>Provides formula-driven status, priority, category, department, monthly, and technician summaries.</x:v>
      </x:c>
      <x:c r="C6" s="281"/>
      <x:c r="D6" s="281"/>
      <x:c r="E6" s="281"/>
      <x:c r="F6" s="281"/>
      <x:c r="G6" s="281"/>
      <x:c r="H6" s="281"/>
    </x:row>
    <x:row r="7" ht="36" customHeight="1">
      <x:c r="A7" s="279" t="str">
        <x:v>Users</x:v>
      </x:c>
      <x:c r="B7" s="281" t="str">
        <x:v>Stores 30 sample users, devices, asset tags, departments, and locations.</x:v>
      </x:c>
      <x:c r="C7" s="281"/>
      <x:c r="D7" s="281"/>
      <x:c r="E7" s="281"/>
      <x:c r="F7" s="281"/>
      <x:c r="G7" s="281"/>
      <x:c r="H7" s="281"/>
    </x:row>
    <x:row r="8" ht="36" customHeight="1">
      <x:c r="A8" s="279" t="str">
        <x:v>Knowledge Base</x:v>
      </x:c>
      <x:c r="B8" s="281" t="str">
        <x:v>Documents 15 repeatable troubleshooting procedures and resolution checks.</x:v>
      </x:c>
      <x:c r="C8" s="281"/>
      <x:c r="D8" s="281"/>
      <x:c r="E8" s="281"/>
      <x:c r="F8" s="281"/>
      <x:c r="G8" s="281"/>
      <x:c r="H8" s="281"/>
    </x:row>
    <x:row r="9" ht="36" customHeight="1">
      <x:c r="A9" s="279" t="str">
        <x:v>Lists</x:v>
      </x:c>
      <x:c r="B9" s="281" t="str">
        <x:v>Maintains the dropdown values and response-SLA targets used throughout the workbook.</x:v>
      </x:c>
      <x:c r="C9" s="281"/>
      <x:c r="D9" s="281"/>
      <x:c r="E9" s="281"/>
      <x:c r="F9" s="281"/>
      <x:c r="G9" s="281"/>
      <x:c r="H9" s="281"/>
    </x:row>
    <x:row r="10" ht="48" customHeight="1">
      <x:c r="A10" s="279" t="str">
        <x:v>How to Use</x:v>
      </x:c>
      <x:c r="B10" s="424" t="str">
        <x:v>Use the dropdowns in the Tickets sheet columns marked ▼ to change Priority, Status, and Assigned Technician. Use Ticket Details to select any Ticket ID and review the issue, troubleshooting steps, how it was solved, and the verification check.</x:v>
      </x:c>
      <x:c r="C10" s="424"/>
      <x:c r="D10" s="424"/>
      <x:c r="E10" s="424"/>
      <x:c r="F10" s="424"/>
      <x:c r="G10" s="424"/>
      <x:c r="H10" s="424"/>
    </x:row>
    <x:row r="11">
      <x:c r="A11"/>
      <x:c r="B11"/>
      <x:c r="C11"/>
      <x:c r="D11"/>
      <x:c r="E11"/>
      <x:c r="F11"/>
    </x:row>
    <x:row r="12">
      <x:c r="A12" s="135" t="str">
        <x:v>DAY 2 UPGRADE SUMMARY</x:v>
      </x:c>
      <x:c r="B12" s="135"/>
      <x:c r="C12" s="135"/>
      <x:c r="D12" s="135"/>
      <x:c r="E12" s="135"/>
      <x:c r="F12" s="135"/>
      <x:c r="G12" s="135"/>
      <x:c r="H12" s="135"/>
    </x:row>
    <x:row r="13" ht="25" customHeight="1">
      <x:c r="A13" s="280" t="str">
        <x:v>• Expanded the incident log from 6 to 100 realistic simulated tickets.</x:v>
      </x:c>
      <x:c r="B13" s="280"/>
      <x:c r="C13" s="280"/>
      <x:c r="D13" s="280"/>
      <x:c r="E13" s="280"/>
      <x:c r="F13" s="280"/>
      <x:c r="G13" s="280"/>
      <x:c r="H13" s="280"/>
    </x:row>
    <x:row r="14" ht="25" customHeight="1">
      <x:c r="A14" s="280" t="str">
        <x:v>• Added response-SLA targets, first-response tracking, SLA results, and conditional formatting.</x:v>
      </x:c>
      <x:c r="B14" s="280"/>
      <x:c r="C14" s="280"/>
      <x:c r="D14" s="280"/>
      <x:c r="E14" s="280"/>
      <x:c r="F14" s="280"/>
      <x:c r="G14" s="280"/>
      <x:c r="H14" s="280"/>
    </x:row>
    <x:row r="15" ht="25" customHeight="1">
      <x:c r="A15" s="280" t="str">
        <x:v>• Added formula-driven reports, three dashboard charts, 30 users/assets, and 15 knowledge-base articles.</x:v>
      </x:c>
      <x:c r="B15" s="280"/>
      <x:c r="C15" s="280"/>
      <x:c r="D15" s="280"/>
      <x:c r="E15" s="280"/>
      <x:c r="F15" s="280"/>
      <x:c r="G15" s="280"/>
      <x:c r="H15" s="280"/>
    </x:row>
    <x:row r="16">
      <x:c r="A16"/>
      <x:c r="B16"/>
      <x:c r="C16"/>
      <x:c r="D16"/>
      <x:c r="E16"/>
      <x:c r="F16"/>
    </x:row>
    <x:row r="17">
      <x:c r="A17" s="135" t="str">
        <x:v>RESUME PROJECT DESCRIPTION</x:v>
      </x:c>
      <x:c r="B17" s="135"/>
      <x:c r="C17" s="135"/>
      <x:c r="D17" s="135"/>
      <x:c r="E17" s="135"/>
      <x:c r="F17" s="135"/>
      <x:c r="G17" s="135"/>
      <x:c r="H17" s="135"/>
    </x:row>
    <x:row r="18" ht="28" customHeight="1">
      <x:c r="A18" s="282" t="str">
        <x:v>Built an Excel-based simulated help desk ticketing system with 100 incidents, formula-driven KPI reporting, response-SLA tracking, conditional formatting, 30 user and asset records, and a 15-article knowledge base. Documented incident intake, prioritization, troubleshooting, assignment, resolution, and service performance.</x:v>
      </x:c>
      <x:c r="B18" s="282"/>
      <x:c r="C18" s="282"/>
      <x:c r="D18" s="282"/>
      <x:c r="E18" s="282"/>
      <x:c r="F18" s="282"/>
      <x:c r="G18" s="282"/>
      <x:c r="H18" s="282"/>
    </x:row>
    <x:row r="19" ht="28" customHeight="1">
      <x:c r="A19" s="282"/>
      <x:c r="B19" s="282"/>
      <x:c r="C19" s="282"/>
      <x:c r="D19" s="282"/>
      <x:c r="E19" s="282"/>
      <x:c r="F19" s="282"/>
      <x:c r="G19" s="282"/>
      <x:c r="H19" s="282"/>
    </x:row>
    <x:row r="20" ht="28" customHeight="1">
      <x:c r="A20" s="282"/>
      <x:c r="B20" s="282"/>
      <x:c r="C20" s="282"/>
      <x:c r="D20" s="282"/>
      <x:c r="E20" s="282"/>
      <x:c r="F20" s="282"/>
      <x:c r="G20" s="282"/>
      <x:c r="H20" s="282"/>
    </x:row>
    <x:row r="22">
      <x:c r="A22" s="285" t="str">
        <x:v>SIMULATED PORTFOLIO PROJECT — NOT A LIVE BUSINESS SYSTEM</x:v>
      </x:c>
      <x:c r="B22" s="285"/>
      <x:c r="C22" s="285"/>
      <x:c r="D22" s="285"/>
      <x:c r="E22" s="285"/>
      <x:c r="F22" s="285"/>
      <x:c r="G22" s="285"/>
      <x:c r="H22" s="285"/>
    </x:row>
  </x:sheetData>
  <x:mergeCells>
    <x:mergeCell ref="A1:H1"/>
    <x:mergeCell ref="B3:H3"/>
    <x:mergeCell ref="B4:H4"/>
    <x:mergeCell ref="B5:H5"/>
    <x:mergeCell ref="B6:H6"/>
    <x:mergeCell ref="B7:H7"/>
    <x:mergeCell ref="B8:H8"/>
    <x:mergeCell ref="B9:H9"/>
    <x:mergeCell ref="B10:H10"/>
    <x:mergeCell ref="A12:H12"/>
    <x:mergeCell ref="A13:H13"/>
    <x:mergeCell ref="A14:H14"/>
    <x:mergeCell ref="A15:H15"/>
    <x:mergeCell ref="A17:H17"/>
    <x:mergeCell ref="A18:H20"/>
    <x:mergeCell ref="A22:H2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12" hidden="0" customWidth="1"/>
    <x:col min="4" max="4" width="18" hidden="0" customWidth="1"/>
    <x:col min="5" max="5" width="15" hidden="0" customWidth="1"/>
    <x:col min="7" max="7" width="23" hidden="0" customWidth="1"/>
    <x:col min="8" max="8" width="15" hidden="0" customWidth="1"/>
  </x:cols>
  <x:sheetData>
    <x:row r="1">
      <x:c r="A1" s="148" t="str">
        <x:v>HELP DESK REPORTING TABLES</x:v>
      </x:c>
      <x:c r="B1" s="148"/>
      <x:c r="C1" s="148"/>
      <x:c r="D1" s="148"/>
      <x:c r="E1" s="148"/>
      <x:c r="F1" s="148"/>
      <x:c r="G1" s="148"/>
      <x:c r="H1" s="148"/>
      <x:c r="I1" s="148"/>
      <x:c r="J1" s="148"/>
    </x:row>
    <x:row r="3">
      <x:c r="A3" s="135" t="str">
        <x:v>Status</x:v>
      </x:c>
      <x:c r="B3" s="135" t="str">
        <x:v>Tickets</x:v>
      </x:c>
      <x:c r="D3" s="135" t="str">
        <x:v>Priority</x:v>
      </x:c>
      <x:c r="E3" s="135" t="str">
        <x:v>Tickets</x:v>
      </x:c>
      <x:c r="G3" s="135" t="str">
        <x:v>Issue Type</x:v>
      </x:c>
      <x:c r="H3" s="135" t="str">
        <x:v>Tickets</x:v>
      </x:c>
    </x:row>
    <x:row r="4">
      <x:c r="A4" s="164" t="str">
        <x:v>Open</x:v>
      </x:c>
      <x:c r="B4" s="165" t="n">
        <x:f>COUNTIF('Tickets'!$H$3:$H$102,A4)</x:f>
        <x:v>10</x:v>
      </x:c>
      <x:c r="D4" s="164" t="str">
        <x:v>Low</x:v>
      </x:c>
      <x:c r="E4" s="165" t="n">
        <x:f>COUNTIF('Tickets'!$G$3:$G$102,D4)</x:f>
        <x:v>20</x:v>
      </x:c>
      <x:c r="G4" s="164" t="str">
        <x:v>Network</x:v>
      </x:c>
      <x:c r="H4" s="165" t="n">
        <x:f>COUNTIF('Tickets'!$E$3:$E$102,G4)</x:f>
        <x:v>10</x:v>
      </x:c>
    </x:row>
    <x:row r="5">
      <x:c r="A5" s="166" t="str">
        <x:v>In Progress</x:v>
      </x:c>
      <x:c r="B5" s="167" t="n">
        <x:f>COUNTIF('Tickets'!$H$3:$H$102,A5)</x:f>
        <x:v>14</x:v>
      </x:c>
      <x:c r="D5" s="166" t="str">
        <x:v>Medium</x:v>
      </x:c>
      <x:c r="E5" s="167" t="n">
        <x:f>COUNTIF('Tickets'!$G$3:$G$102,D5)</x:f>
        <x:v>40</x:v>
      </x:c>
      <x:c r="G5" s="166" t="str">
        <x:v>Account Access</x:v>
      </x:c>
      <x:c r="H5" s="167" t="n">
        <x:f>COUNTIF('Tickets'!$E$3:$E$102,G5)</x:f>
        <x:v>10</x:v>
      </x:c>
    </x:row>
    <x:row r="6">
      <x:c r="A6" s="166" t="str">
        <x:v>Resolved</x:v>
      </x:c>
      <x:c r="B6" s="167" t="n">
        <x:f>COUNTIF('Tickets'!$H$3:$H$102,A6)</x:f>
        <x:v>24</x:v>
      </x:c>
      <x:c r="D6" s="166" t="str">
        <x:v>High</x:v>
      </x:c>
      <x:c r="E6" s="167" t="n">
        <x:f>COUNTIF('Tickets'!$G$3:$G$102,D6)</x:f>
        <x:v>30</x:v>
      </x:c>
      <x:c r="G6" s="166" t="str">
        <x:v>Software</x:v>
      </x:c>
      <x:c r="H6" s="167" t="n">
        <x:f>COUNTIF('Tickets'!$E$3:$E$102,G6)</x:f>
        <x:v>10</x:v>
      </x:c>
    </x:row>
    <x:row r="7">
      <x:c r="A7" s="168" t="str">
        <x:v>Closed</x:v>
      </x:c>
      <x:c r="B7" s="169" t="n">
        <x:f>COUNTIF('Tickets'!$H$3:$H$102,A7)</x:f>
        <x:v>52</x:v>
      </x:c>
      <x:c r="D7" s="168" t="str">
        <x:v>Critical</x:v>
      </x:c>
      <x:c r="E7" s="169" t="n">
        <x:f>COUNTIF('Tickets'!$G$3:$G$102,D7)</x:f>
        <x:v>10</x:v>
      </x:c>
      <x:c r="G7" s="166" t="str">
        <x:v>Printer</x:v>
      </x:c>
      <x:c r="H7" s="167" t="n">
        <x:f>COUNTIF('Tickets'!$E$3:$E$102,G7)</x:f>
        <x:v>10</x:v>
      </x:c>
    </x:row>
    <x:row r="8">
      <x:c r="G8" s="166" t="str">
        <x:v>Hardware</x:v>
      </x:c>
      <x:c r="H8" s="167" t="n">
        <x:f>COUNTIF('Tickets'!$E$3:$E$102,G8)</x:f>
        <x:v>10</x:v>
      </x:c>
    </x:row>
    <x:row r="9">
      <x:c r="G9" s="166" t="str">
        <x:v>Security</x:v>
      </x:c>
      <x:c r="H9" s="167" t="n">
        <x:f>COUNTIF('Tickets'!$E$3:$E$102,G9)</x:f>
        <x:v>10</x:v>
      </x:c>
    </x:row>
    <x:row r="10">
      <x:c r="G10" s="166" t="str">
        <x:v>Email</x:v>
      </x:c>
      <x:c r="H10" s="167" t="n">
        <x:f>COUNTIF('Tickets'!$E$3:$E$102,G10)</x:f>
        <x:v>10</x:v>
      </x:c>
    </x:row>
    <x:row r="11">
      <x:c r="G11" s="166" t="str">
        <x:v>VPN</x:v>
      </x:c>
      <x:c r="H11" s="167" t="n">
        <x:f>COUNTIF('Tickets'!$E$3:$E$102,G11)</x:f>
        <x:v>10</x:v>
      </x:c>
    </x:row>
    <x:row r="12">
      <x:c r="A12" s="135" t="str">
        <x:v>Department</x:v>
      </x:c>
      <x:c r="B12" s="135" t="str">
        <x:v>Tickets</x:v>
      </x:c>
      <x:c r="D12" s="135" t="str">
        <x:v>Month</x:v>
      </x:c>
      <x:c r="E12" s="135" t="str">
        <x:v>Tickets Opened</x:v>
      </x:c>
      <x:c r="G12" s="166" t="str">
        <x:v>Audio/Visual</x:v>
      </x:c>
      <x:c r="H12" s="167" t="n">
        <x:f>COUNTIF('Tickets'!$E$3:$E$102,G12)</x:f>
        <x:v>10</x:v>
      </x:c>
    </x:row>
    <x:row r="13">
      <x:c r="A13" s="164" t="str">
        <x:v>Front Desk</x:v>
      </x:c>
      <x:c r="B13" s="165" t="n">
        <x:f>COUNTIF('Tickets'!$D$3:$D$102,A13)</x:f>
        <x:v>11</x:v>
      </x:c>
      <x:c r="D13" s="164" t="str">
        <x:v>May 2026</x:v>
      </x:c>
      <x:c r="E13" s="165" t="n">
        <x:f>COUNTIFS('Tickets'!$B$3:$B$102,"&gt;="&amp;DATE(2026,5,1),'Tickets'!$B$3:$B$102,"&lt;"&amp;DATE(2026,6,1))</x:f>
        <x:v>29</x:v>
      </x:c>
      <x:c r="G13" s="168" t="str">
        <x:v>Mobile Device</x:v>
      </x:c>
      <x:c r="H13" s="169" t="n">
        <x:f>COUNTIF('Tickets'!$E$3:$E$102,G13)</x:f>
        <x:v>10</x:v>
      </x:c>
    </x:row>
    <x:row r="14">
      <x:c r="A14" s="166" t="str">
        <x:v>Housekeeping</x:v>
      </x:c>
      <x:c r="B14" s="167" t="n">
        <x:f>COUNTIF('Tickets'!$D$3:$D$102,A14)</x:f>
        <x:v>10</x:v>
      </x:c>
      <x:c r="D14" s="166" t="str">
        <x:v>Jun 2026</x:v>
      </x:c>
      <x:c r="E14" s="167" t="n">
        <x:f>COUNTIFS('Tickets'!$B$3:$B$102,"&gt;="&amp;DATE(2026,6,1),'Tickets'!$B$3:$B$102,"&lt;"&amp;DATE(2026,7,1))</x:f>
        <x:v>30</x:v>
      </x:c>
    </x:row>
    <x:row r="15">
      <x:c r="A15" s="166" t="str">
        <x:v>Management</x:v>
      </x:c>
      <x:c r="B15" s="167" t="n">
        <x:f>COUNTIF('Tickets'!$D$3:$D$102,A15)</x:f>
        <x:v>10</x:v>
      </x:c>
      <x:c r="D15" s="166" t="str">
        <x:v>Jul 2026</x:v>
      </x:c>
      <x:c r="E15" s="167" t="n">
        <x:f>COUNTIFS('Tickets'!$B$3:$B$102,"&gt;="&amp;DATE(2026,7,1),'Tickets'!$B$3:$B$102,"&lt;"&amp;DATE(2026,8,1))</x:f>
        <x:v>31</x:v>
      </x:c>
    </x:row>
    <x:row r="16">
      <x:c r="A16" s="166" t="str">
        <x:v>Maintenance</x:v>
      </x:c>
      <x:c r="B16" s="167" t="n">
        <x:f>COUNTIF('Tickets'!$D$3:$D$102,A16)</x:f>
        <x:v>10</x:v>
      </x:c>
      <x:c r="D16" s="168" t="str">
        <x:v>Aug 2026</x:v>
      </x:c>
      <x:c r="E16" s="169" t="n">
        <x:f>COUNTIFS('Tickets'!$B$3:$B$102,"&gt;="&amp;DATE(2026,8,1),'Tickets'!$B$3:$B$102,"&lt;"&amp;DATE(2026,9,1))</x:f>
        <x:v>10</x:v>
      </x:c>
      <x:c r="G16" s="135" t="str">
        <x:v>Technician</x:v>
      </x:c>
      <x:c r="H16" s="135" t="str">
        <x:v>Assigned Tickets</x:v>
      </x:c>
    </x:row>
    <x:row r="17">
      <x:c r="A17" s="166" t="str">
        <x:v>Sales</x:v>
      </x:c>
      <x:c r="B17" s="167" t="n">
        <x:f>COUNTIF('Tickets'!$D$3:$D$102,A17)</x:f>
        <x:v>6</x:v>
      </x:c>
      <x:c r="G17" s="164" t="str">
        <x:v>Andres Camacho</x:v>
      </x:c>
      <x:c r="H17" s="165" t="n">
        <x:f>COUNTIF('Tickets'!$I$3:$I$102,G17)</x:f>
        <x:v>25</x:v>
      </x:c>
    </x:row>
    <x:row r="18">
      <x:c r="A18" s="166" t="str">
        <x:v>Guest Services</x:v>
      </x:c>
      <x:c r="B18" s="167" t="n">
        <x:f>COUNTIF('Tickets'!$D$3:$D$102,A18)</x:f>
        <x:v>7</x:v>
      </x:c>
      <x:c r="G18" s="166" t="str">
        <x:v>Jordan Lee</x:v>
      </x:c>
      <x:c r="H18" s="167" t="n">
        <x:f>COUNTIF('Tickets'!$I$3:$I$102,G18)</x:f>
        <x:v>25</x:v>
      </x:c>
    </x:row>
    <x:row r="19">
      <x:c r="A19" s="166" t="str">
        <x:v>Finance</x:v>
      </x:c>
      <x:c r="B19" s="167" t="n">
        <x:f>COUNTIF('Tickets'!$D$3:$D$102,A19)</x:f>
        <x:v>7</x:v>
      </x:c>
      <x:c r="G19" s="166" t="str">
        <x:v>Priya Shah</x:v>
      </x:c>
      <x:c r="H19" s="167" t="n">
        <x:f>COUNTIF('Tickets'!$I$3:$I$102,G19)</x:f>
        <x:v>22</x:v>
      </x:c>
    </x:row>
    <x:row r="20">
      <x:c r="A20" s="166" t="str">
        <x:v>Human Resources</x:v>
      </x:c>
      <x:c r="B20" s="167" t="n">
        <x:f>COUNTIF('Tickets'!$D$3:$D$102,A20)</x:f>
        <x:v>7</x:v>
      </x:c>
      <x:c r="G20" s="166" t="str">
        <x:v>Marcus Brown</x:v>
      </x:c>
      <x:c r="H20" s="167" t="n">
        <x:f>COUNTIF('Tickets'!$I$3:$I$102,G20)</x:f>
        <x:v>25</x:v>
      </x:c>
    </x:row>
    <x:row r="21">
      <x:c r="A21" s="166" t="str">
        <x:v>Food &amp; Beverage</x:v>
      </x:c>
      <x:c r="B21" s="167" t="n">
        <x:f>COUNTIF('Tickets'!$D$3:$D$102,A21)</x:f>
        <x:v>7</x:v>
      </x:c>
      <x:c r="G21" s="168" t="str">
        <x:v>Unassigned</x:v>
      </x:c>
      <x:c r="H21" s="169" t="n">
        <x:f>COUNTIF('Tickets'!$I$3:$I$102,G21)</x:f>
        <x:v>3</x:v>
      </x:c>
    </x:row>
    <x:row r="22">
      <x:c r="A22" s="166" t="str">
        <x:v>Events</x:v>
      </x:c>
      <x:c r="B22" s="167" t="n">
        <x:f>COUNTIF('Tickets'!$D$3:$D$102,A22)</x:f>
        <x:v>6</x:v>
      </x:c>
    </x:row>
    <x:row r="23">
      <x:c r="A23" s="166" t="str">
        <x:v>Security</x:v>
      </x:c>
      <x:c r="B23" s="167" t="n">
        <x:f>COUNTIF('Tickets'!$D$3:$D$102,A23)</x:f>
        <x:v>6</x:v>
      </x:c>
    </x:row>
    <x:row r="24">
      <x:c r="A24" s="166" t="str">
        <x:v>IT Operations</x:v>
      </x:c>
      <x:c r="B24" s="167" t="n">
        <x:f>COUNTIF('Tickets'!$D$3:$D$102,A24)</x:f>
        <x:v>6</x:v>
      </x:c>
    </x:row>
    <x:row r="25">
      <x:c r="A25" s="168" t="str">
        <x:v>Reservations</x:v>
      </x:c>
      <x:c r="B25" s="169" t="n">
        <x:f>COUNTIF('Tickets'!$D$3:$D$102,A25)</x:f>
        <x:v>7</x:v>
      </x:c>
    </x:row>
  </x:sheetData>
  <x:mergeCells>
    <x:mergeCell ref="A1:J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6" hidden="0" customWidth="1"/>
    <x:col min="3" max="3" width="16" hidden="0" customWidth="1"/>
    <x:col min="4" max="4" width="16" hidden="0" customWidth="1"/>
    <x:col min="5" max="5" width="20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28" customHeight="1">
      <x:c r="A1" s="325" t="str">
        <x:v>TICKET DETAILS &amp; RESOLUTION VIEW</x:v>
      </x:c>
      <x:c r="B1" s="325"/>
      <x:c r="C1" s="325"/>
      <x:c r="D1" s="325"/>
      <x:c r="E1" s="325"/>
      <x:c r="F1" s="325"/>
      <x:c r="G1" s="325"/>
      <x:c r="H1" s="325"/>
    </x:row>
    <x:row r="2" ht="28" customHeight="1">
      <x:c r="A2" s="325"/>
      <x:c r="B2" s="325"/>
      <x:c r="C2" s="325"/>
      <x:c r="D2" s="325"/>
      <x:c r="E2" s="325"/>
      <x:c r="F2" s="325"/>
      <x:c r="G2" s="325"/>
      <x:c r="H2" s="325"/>
    </x:row>
    <x:row r="3" ht="27" customHeight="1">
      <x:c r="A3" s="328" t="str">
        <x:v>Choose a Ticket ID below. Every field and resolution section updates automatically.</x:v>
      </x:c>
      <x:c r="B3" s="328"/>
      <x:c r="C3" s="328"/>
      <x:c r="D3" s="328"/>
      <x:c r="E3" s="328"/>
      <x:c r="F3" s="328"/>
      <x:c r="G3" s="328"/>
      <x:c r="H3" s="328"/>
    </x:row>
    <x:row r="4" ht="27" customHeight="1">
      <x:c r="A4" s="332" t="str">
        <x:v>Select Ticket ID ▼</x:v>
      </x:c>
      <x:c r="B4" s="341" t="str">
        <x:v>INC-1001</x:v>
      </x:c>
      <x:c r="C4" s="342"/>
      <x:c r="D4" s="343"/>
      <x:c r="E4" s="332" t="str">
        <x:v>Priority</x:v>
      </x:c>
      <x:c r="F4" s="353" t="str">
        <x:f>IFERROR(VLOOKUP($B$4,'Tickets'!$A$3:$P$102,7,FALSE),"")</x:f>
        <x:v>High</x:v>
      </x:c>
      <x:c r="G4" s="354"/>
      <x:c r="H4" s="355"/>
    </x:row>
    <x:row r="6" ht="25" customHeight="1">
      <x:c r="A6" s="332" t="str">
        <x:v>Requester</x:v>
      </x:c>
      <x:c r="B6" s="353" t="str">
        <x:f>IFERROR(VLOOKUP($B$4,'Tickets'!$A$3:$P$102,3,FALSE),"")</x:f>
        <x:v>Maria Lopez</x:v>
      </x:c>
      <x:c r="C6" s="354"/>
      <x:c r="D6" s="355"/>
      <x:c r="E6" s="332" t="str">
        <x:v>Status</x:v>
      </x:c>
      <x:c r="F6" s="353" t="str">
        <x:f>IFERROR(VLOOKUP($B$4,'Tickets'!$A$3:$P$102,8,FALSE),"")</x:f>
        <x:v>Closed</x:v>
      </x:c>
      <x:c r="G6" s="354"/>
      <x:c r="H6" s="355"/>
    </x:row>
    <x:row r="7" ht="25" customHeight="1">
      <x:c r="A7" s="332" t="str">
        <x:v>Department</x:v>
      </x:c>
      <x:c r="B7" s="353" t="str">
        <x:f>IFERROR(VLOOKUP($B$4,'Tickets'!$A$3:$P$102,4,FALSE),"")</x:f>
        <x:v>Front Desk</x:v>
      </x:c>
      <x:c r="C7" s="354"/>
      <x:c r="D7" s="355"/>
      <x:c r="E7" s="332" t="str">
        <x:v>Assigned Technician</x:v>
      </x:c>
      <x:c r="F7" s="353" t="str">
        <x:f>IFERROR(VLOOKUP($B$4,'Tickets'!$A$3:$P$102,9,FALSE),"")</x:f>
        <x:v>Andres Camacho</x:v>
      </x:c>
      <x:c r="G7" s="354"/>
      <x:c r="H7" s="355"/>
    </x:row>
    <x:row r="8" ht="25" customHeight="1">
      <x:c r="A8" s="332" t="str">
        <x:v>Issue Type</x:v>
      </x:c>
      <x:c r="B8" s="353" t="str">
        <x:f>IFERROR(VLOOKUP($B$4,'Tickets'!$A$3:$P$102,5,FALSE),"")</x:f>
        <x:v>Network</x:v>
      </x:c>
      <x:c r="C8" s="354"/>
      <x:c r="D8" s="355"/>
      <x:c r="E8" s="332" t="str">
        <x:v>Date Opened</x:v>
      </x:c>
      <x:c r="F8" s="356" t="n">
        <x:f>IFERROR(VLOOKUP($B$4,'Tickets'!$A$3:$P$102,2,FALSE),"")</x:f>
        <x:v>46145</x:v>
      </x:c>
      <x:c r="G8" s="357"/>
      <x:c r="H8" s="358"/>
    </x:row>
    <x:row r="9" ht="25" customHeight="1">
      <x:c r="A9" s="332" t="str">
        <x:v>SLA Result</x:v>
      </x:c>
      <x:c r="B9" s="353" t="str">
        <x:f>IFERROR(VLOOKUP($B$4,'Tickets'!$A$3:$P$102,16,FALSE),"")</x:f>
        <x:v>Missed</x:v>
      </x:c>
      <x:c r="C9" s="354"/>
      <x:c r="D9" s="355"/>
      <x:c r="E9" s="332" t="str">
        <x:v>Date Closed</x:v>
      </x:c>
      <x:c r="F9" s="356" t="n">
        <x:f>IFERROR(VLOOKUP($B$4,'Tickets'!$A$3:$P$102,12,FALSE),"")</x:f>
        <x:v>46146</x:v>
      </x:c>
      <x:c r="G9" s="357"/>
      <x:c r="H9" s="358"/>
    </x:row>
    <x:row r="11" ht="24" customHeight="1">
      <x:c r="A11" s="362" t="str">
        <x:v>ISSUE REPORTED</x:v>
      </x:c>
      <x:c r="B11" s="362"/>
      <x:c r="C11" s="362"/>
      <x:c r="D11" s="362"/>
      <x:c r="E11" s="362"/>
      <x:c r="F11" s="362"/>
      <x:c r="G11" s="362"/>
      <x:c r="H11" s="362"/>
    </x:row>
    <x:row r="12" ht="26" customHeight="1">
      <x:c r="A12" s="390" t="str">
        <x:f>IFERROR(VLOOKUP($B$4,'Tickets'!$A$3:$P$102,6,FALSE),"")</x:f>
        <x:v>CORP-LT-201 cannot connect to the secure staff Wi-Fi in Main Lobby.</x:v>
      </x:c>
      <x:c r="B12" s="391"/>
      <x:c r="C12" s="391"/>
      <x:c r="D12" s="391"/>
      <x:c r="E12" s="391"/>
      <x:c r="F12" s="391"/>
      <x:c r="G12" s="391"/>
      <x:c r="H12" s="392"/>
    </x:row>
    <x:row r="13" ht="26" customHeight="1">
      <x:c r="A13" s="393"/>
      <x:c r="B13" s="394"/>
      <x:c r="C13" s="394"/>
      <x:c r="D13" s="394"/>
      <x:c r="E13" s="394"/>
      <x:c r="F13" s="394"/>
      <x:c r="G13" s="394"/>
      <x:c r="H13" s="395"/>
    </x:row>
    <x:row r="14" ht="26" customHeight="1">
      <x:c r="A14" s="396"/>
      <x:c r="B14" s="397"/>
      <x:c r="C14" s="397"/>
      <x:c r="D14" s="397"/>
      <x:c r="E14" s="397"/>
      <x:c r="F14" s="397"/>
      <x:c r="G14" s="397"/>
      <x:c r="H14" s="398"/>
    </x:row>
    <x:row r="16" ht="24" customHeight="1">
      <x:c r="A16" s="362" t="str">
        <x:v>TROUBLESHOOTING STEPS TAKEN</x:v>
      </x:c>
      <x:c r="B16" s="362"/>
      <x:c r="C16" s="362"/>
      <x:c r="D16" s="362"/>
      <x:c r="E16" s="362"/>
      <x:c r="F16" s="362"/>
      <x:c r="G16" s="362"/>
      <x:c r="H16" s="362"/>
    </x:row>
    <x:row r="17" ht="26" customHeight="1">
      <x:c r="A17" s="390" t="str">
        <x:f>IFERROR(VLOOKUP($B$4,'Tickets'!$A$3:$P$102,10,FALSE),"")</x:f>
        <x:v>Confirmed the outage was limited to one device, verified airplane mode was off, renewed the IP configuration, forgot the saved network, and reconnected with approved credentials.</x:v>
      </x:c>
      <x:c r="B17" s="391"/>
      <x:c r="C17" s="391"/>
      <x:c r="D17" s="391"/>
      <x:c r="E17" s="391"/>
      <x:c r="F17" s="391"/>
      <x:c r="G17" s="391"/>
      <x:c r="H17" s="392"/>
    </x:row>
    <x:row r="18" ht="26" customHeight="1">
      <x:c r="A18" s="393"/>
      <x:c r="B18" s="394"/>
      <x:c r="C18" s="394"/>
      <x:c r="D18" s="394"/>
      <x:c r="E18" s="394"/>
      <x:c r="F18" s="394"/>
      <x:c r="G18" s="394"/>
      <x:c r="H18" s="395"/>
    </x:row>
    <x:row r="19" ht="26" customHeight="1">
      <x:c r="A19" s="393"/>
      <x:c r="B19" s="394"/>
      <x:c r="C19" s="394"/>
      <x:c r="D19" s="394"/>
      <x:c r="E19" s="394"/>
      <x:c r="F19" s="394"/>
      <x:c r="G19" s="394"/>
      <x:c r="H19" s="395"/>
    </x:row>
    <x:row r="20" ht="26" customHeight="1">
      <x:c r="A20" s="396"/>
      <x:c r="B20" s="397"/>
      <x:c r="C20" s="397"/>
      <x:c r="D20" s="397"/>
      <x:c r="E20" s="397"/>
      <x:c r="F20" s="397"/>
      <x:c r="G20" s="397"/>
      <x:c r="H20" s="398"/>
    </x:row>
    <x:row r="22" ht="24" customHeight="1">
      <x:c r="A22" s="362" t="str">
        <x:v>HOW THE ISSUE WAS SOLVED</x:v>
      </x:c>
      <x:c r="B22" s="362"/>
      <x:c r="C22" s="362"/>
      <x:c r="D22" s="362"/>
      <x:c r="E22" s="362"/>
      <x:c r="F22" s="362"/>
      <x:c r="G22" s="362"/>
      <x:c r="H22" s="362"/>
    </x:row>
    <x:row r="23" ht="26" customHeight="1">
      <x:c r="A23" s="390" t="str">
        <x:f>IFERROR(VLOOKUP($B$4,'Tickets'!$A$3:$P$102,11,FALSE),"")</x:f>
        <x:v>Network access was restored and two internal resources loaded successfully.</x:v>
      </x:c>
      <x:c r="B23" s="391"/>
      <x:c r="C23" s="391"/>
      <x:c r="D23" s="391"/>
      <x:c r="E23" s="391"/>
      <x:c r="F23" s="391"/>
      <x:c r="G23" s="391"/>
      <x:c r="H23" s="392"/>
    </x:row>
    <x:row r="24" ht="26" customHeight="1">
      <x:c r="A24" s="393"/>
      <x:c r="B24" s="394"/>
      <x:c r="C24" s="394"/>
      <x:c r="D24" s="394"/>
      <x:c r="E24" s="394"/>
      <x:c r="F24" s="394"/>
      <x:c r="G24" s="394"/>
      <x:c r="H24" s="395"/>
    </x:row>
    <x:row r="25" ht="26" customHeight="1">
      <x:c r="A25" s="393"/>
      <x:c r="B25" s="394"/>
      <x:c r="C25" s="394"/>
      <x:c r="D25" s="394"/>
      <x:c r="E25" s="394"/>
      <x:c r="F25" s="394"/>
      <x:c r="G25" s="394"/>
      <x:c r="H25" s="395"/>
    </x:row>
    <x:row r="26" ht="26" customHeight="1">
      <x:c r="A26" s="396"/>
      <x:c r="B26" s="397"/>
      <x:c r="C26" s="397"/>
      <x:c r="D26" s="397"/>
      <x:c r="E26" s="397"/>
      <x:c r="F26" s="397"/>
      <x:c r="G26" s="397"/>
      <x:c r="H26" s="398"/>
    </x:row>
    <x:row r="28" ht="24" customHeight="1">
      <x:c r="A28" s="362" t="str">
        <x:v>RESOLUTION VERIFICATION</x:v>
      </x:c>
      <x:c r="B28" s="362"/>
      <x:c r="C28" s="362"/>
      <x:c r="D28" s="362"/>
      <x:c r="E28" s="362"/>
      <x:c r="F28" s="362"/>
      <x:c r="G28" s="362"/>
      <x:c r="H28" s="362"/>
    </x:row>
    <x:row r="29" ht="26" customHeight="1">
      <x:c r="A29" s="390" t="str">
        <x:f>IFERROR(VLOOKUP($B$8,'Lists'!$H$2:$I$11,2,FALSE),"Confirm the fix with the requester and document successful testing.")</x:f>
        <x:v>Open two approved websites and one internal resource to confirm stable connectivity.</x:v>
      </x:c>
      <x:c r="B29" s="391"/>
      <x:c r="C29" s="391"/>
      <x:c r="D29" s="391"/>
      <x:c r="E29" s="391"/>
      <x:c r="F29" s="391"/>
      <x:c r="G29" s="391"/>
      <x:c r="H29" s="392"/>
    </x:row>
    <x:row r="30" ht="26" customHeight="1">
      <x:c r="A30" s="393"/>
      <x:c r="B30" s="394"/>
      <x:c r="C30" s="394"/>
      <x:c r="D30" s="394"/>
      <x:c r="E30" s="394"/>
      <x:c r="F30" s="394"/>
      <x:c r="G30" s="394"/>
      <x:c r="H30" s="395"/>
    </x:row>
    <x:row r="31" ht="26" customHeight="1">
      <x:c r="A31" s="396"/>
      <x:c r="B31" s="397"/>
      <x:c r="C31" s="397"/>
      <x:c r="D31" s="397"/>
      <x:c r="E31" s="397"/>
      <x:c r="F31" s="397"/>
      <x:c r="G31" s="397"/>
      <x:c r="H31" s="398"/>
    </x:row>
    <x:row r="33" ht="28" customHeight="1">
      <x:c r="A33" s="418" t="str">
        <x:v>To change Priority, Status, or Technician: open the Tickets sheet, select the ticket, and use the dropdown in the column marked ▼. Dashboard and SLA results update automatically.</x:v>
      </x:c>
      <x:c r="B33" s="419"/>
      <x:c r="C33" s="419"/>
      <x:c r="D33" s="419"/>
      <x:c r="E33" s="419"/>
      <x:c r="F33" s="419"/>
      <x:c r="G33" s="419"/>
      <x:c r="H33" s="420"/>
    </x:row>
    <x:row r="34" ht="28" customHeight="1">
      <x:c r="A34" s="421"/>
      <x:c r="B34" s="422"/>
      <x:c r="C34" s="422"/>
      <x:c r="D34" s="422"/>
      <x:c r="E34" s="422"/>
      <x:c r="F34" s="422"/>
      <x:c r="G34" s="422"/>
      <x:c r="H34" s="423"/>
    </x:row>
  </x:sheetData>
  <x:mergeCells>
    <x:mergeCell ref="A1:H2"/>
    <x:mergeCell ref="A3:H3"/>
    <x:mergeCell ref="B4:D4"/>
    <x:mergeCell ref="F4:H4"/>
    <x:mergeCell ref="B6:D6"/>
    <x:mergeCell ref="F6:H6"/>
    <x:mergeCell ref="B7:D7"/>
    <x:mergeCell ref="F7:H7"/>
    <x:mergeCell ref="B8:D8"/>
    <x:mergeCell ref="F8:H8"/>
    <x:mergeCell ref="B9:D9"/>
    <x:mergeCell ref="F9:H9"/>
    <x:mergeCell ref="A11:H11"/>
    <x:mergeCell ref="A12:H14"/>
    <x:mergeCell ref="A16:H16"/>
    <x:mergeCell ref="A17:H20"/>
    <x:mergeCell ref="A22:H22"/>
    <x:mergeCell ref="A23:H26"/>
    <x:mergeCell ref="A28:H28"/>
    <x:mergeCell ref="A29:H31"/>
    <x:mergeCell ref="A33:H34"/>
  </x:mergeCells>
  <x:dataValidations count="1">
    <x:dataValidation type="list" sqref="B4">
      <x:formula1>"INC-1001,INC-1002,INC-1003,INC-1004,INC-1005,INC-1006,INC-1007,INC-1008,INC-1009,INC-1010,INC-1011,INC-1012,INC-1013,INC-1014,INC-1015,INC-1016,INC-1017,INC-1018,INC-1019,INC-1020,INC-1021,INC-1022,INC-1023,INC-1024,INC-1025,INC-1026,INC-1027,INC-1028,INC-1029,INC-1030,INC-1031,INC-1032,INC-1033,INC-1034,INC-1035,INC-1036,INC-1037,INC-1038,INC-1039,INC-1040,INC-1041,INC-1042,INC-1043,INC-1044,INC-1045,INC-1046,INC-1047,INC-1048,INC-1049,INC-1050,INC-1051,INC-1052,INC-1053,INC-1054,INC-1055,INC-1056,INC-1057,INC-1058,INC-1059,INC-1060,INC-1061,INC-1062,INC-1063,INC-1064,INC-1065,INC-1066,INC-1067,INC-1068,INC-1069,INC-1070,INC-1071,INC-1072,INC-1073,INC-1074,INC-1075,INC-1076,INC-1077,INC-1078,INC-1079,INC-1080,INC-1081,INC-1082,INC-1083,INC-1084,INC-1085,INC-1086,INC-1087,INC-1088,INC-1089,INC-1090,INC-1091,INC-1092,INC-1093,INC-1094,INC-1095,INC-1096,INC-1097,INC-1098,INC-1099,INC-1100"</x:formula1>
    </x:dataValidation>
  </x:dataValidations>
  <x:pageMargins left="0.7" right="0.7" top="0.75" bottom="0.75" header="0.3" footer="0.3"/>
</x:worksheet>
</file>